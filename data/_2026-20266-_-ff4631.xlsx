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40" activeTab="3"/>
  </bookViews>
  <sheets>
    <sheet name="对外披露" sheetId="1" r:id="rId1"/>
    <sheet name="科技投入情况" sheetId="2" r:id="rId2"/>
    <sheet name="执行率" sheetId="3" r:id="rId3"/>
    <sheet name="成本分摊机构汇总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<sst xmlns="http://schemas.openxmlformats.org/spreadsheetml/2006/main" count="115" uniqueCount="82">
  <si>
    <t>统计时间</t>
  </si>
  <si>
    <t>集团科技投入</t>
  </si>
  <si>
    <t>总行部门科技投入</t>
  </si>
  <si>
    <t>数金科技投入</t>
  </si>
  <si>
    <t>其他子公司科技投入</t>
  </si>
  <si>
    <t>分行科技投入</t>
  </si>
  <si>
    <t>2026年1季度</t>
  </si>
  <si>
    <t>2026年2季度</t>
  </si>
  <si>
    <t>2026年3季度</t>
  </si>
  <si>
    <t>2026年4季度</t>
  </si>
  <si>
    <t>年度预算</t>
  </si>
  <si>
    <t>列支</t>
  </si>
  <si>
    <t>预算执行率</t>
  </si>
  <si>
    <t>总行部门年度预算</t>
  </si>
  <si>
    <t>总行部门列支</t>
  </si>
  <si>
    <t>总行部门预算执行率</t>
  </si>
  <si>
    <t>总行部门年度预算（资本性）</t>
  </si>
  <si>
    <t>总行部门列支（资本性）</t>
  </si>
  <si>
    <t>总行部门预算执行率（资本性）</t>
  </si>
  <si>
    <t>总行部门年度预算（费用性）</t>
  </si>
  <si>
    <t>总行部门列支（费用性）</t>
  </si>
  <si>
    <t>总行部门预算执行率（费用性）</t>
  </si>
  <si>
    <t>数金技术服务费年度预算</t>
  </si>
  <si>
    <t>数金技术服务费列支</t>
  </si>
  <si>
    <t>数金技术服务费预算执行率</t>
  </si>
  <si>
    <t>整体预算执行率</t>
  </si>
  <si>
    <t>执行率趋势</t>
  </si>
  <si>
    <t>上年执行率</t>
  </si>
  <si>
    <t>较上月增长</t>
  </si>
  <si>
    <t>条线板块</t>
  </si>
  <si>
    <t>机构名称</t>
  </si>
  <si>
    <t>分摊金额（万元）</t>
  </si>
  <si>
    <t>占比</t>
  </si>
  <si>
    <t>企金</t>
  </si>
  <si>
    <t>国际业务部/交易银行部</t>
  </si>
  <si>
    <t>绿色金融部/战略客户部</t>
  </si>
  <si>
    <t>公司金融部/民营经济部</t>
  </si>
  <si>
    <t>普惠金融部/乡村振兴部</t>
  </si>
  <si>
    <t>机构业务部</t>
  </si>
  <si>
    <t>投资银行部</t>
  </si>
  <si>
    <t>零售</t>
  </si>
  <si>
    <t>零售金融部/消费者权益保护办公室/养老金融部</t>
  </si>
  <si>
    <t>数字运营部</t>
  </si>
  <si>
    <t>信用卡中心</t>
  </si>
  <si>
    <t>财富管理部</t>
  </si>
  <si>
    <t>零售信贷部</t>
  </si>
  <si>
    <t>私人银行部</t>
  </si>
  <si>
    <t>同业</t>
  </si>
  <si>
    <t>资金营运中心</t>
  </si>
  <si>
    <t>资产托管部</t>
  </si>
  <si>
    <t>银行合作中心</t>
  </si>
  <si>
    <t>同业金融部/资产管理部</t>
  </si>
  <si>
    <t>风险合规</t>
  </si>
  <si>
    <t>风险管理部/授信管理部</t>
  </si>
  <si>
    <t>安全保卫部</t>
  </si>
  <si>
    <t>特殊资产经营部</t>
  </si>
  <si>
    <t>审计部</t>
  </si>
  <si>
    <t>金融市场风险管理部</t>
  </si>
  <si>
    <t>法律与合规部</t>
  </si>
  <si>
    <t>授信审批部</t>
  </si>
  <si>
    <t>运营管理</t>
  </si>
  <si>
    <t>运营管理部/数字人民币部</t>
  </si>
  <si>
    <t>科技</t>
  </si>
  <si>
    <t>科技管理部</t>
  </si>
  <si>
    <t>数据管理部</t>
  </si>
  <si>
    <t>兴业数字金融服务（上海）股份有限公司</t>
  </si>
  <si>
    <t>科技运维中心</t>
  </si>
  <si>
    <t>金融科技研究院</t>
  </si>
  <si>
    <t>原普惠科技中心</t>
  </si>
  <si>
    <t>其他总行部门</t>
  </si>
  <si>
    <t>计划财务部</t>
  </si>
  <si>
    <t>发展规划部</t>
  </si>
  <si>
    <t>办公室/党委办公室</t>
  </si>
  <si>
    <t>人力资源部/党委组织部</t>
  </si>
  <si>
    <t>行政后勤部</t>
  </si>
  <si>
    <t>其余部门合计</t>
  </si>
  <si>
    <t>分行</t>
  </si>
  <si>
    <t>香港分行</t>
  </si>
  <si>
    <t>其余分行合计</t>
  </si>
  <si>
    <t>子公司</t>
  </si>
  <si>
    <t>兴银理财有限责任公司</t>
  </si>
  <si>
    <t>其余子公司合计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</si>
</sst>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yyyy/m/d;@"/>
    <numFmt numFmtId="178" formatCode="0.0000_ "/>
    <numFmt numFmtId="179" formatCode="#,##0.00_ "/>
    <numFmt numFmtId="180" formatCode="#,##0_ "/>
    <numFmt numFmtId="181" formatCode="0.00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8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9" borderId="7">
      <alignment vertical="center"/>
    </xf>
    <xf numFmtId="0" fontId="12" fillId="10" borderId="8">
      <alignment vertical="center"/>
    </xf>
    <xf numFmtId="0" fontId="13" fillId="10" borderId="7">
      <alignment vertical="center"/>
    </xf>
    <xf numFmtId="0" fontId="14" fillId="11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0" fillId="38" borderId="0">
      <alignment vertical="center"/>
    </xf>
  </cellStyleXfs>
  <cellXfs count="2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right" vertical="center" wrapText="1"/>
    </xf>
    <xf numFmtId="176" fontId="2" fillId="4" borderId="2" xfId="0" applyNumberFormat="1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3" fontId="2" fillId="6" borderId="2" xfId="0" applyNumberFormat="1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177" fontId="0" fillId="0" borderId="3" xfId="0" applyNumberFormat="1" applyBorder="1">
      <alignment vertical="center"/>
    </xf>
    <xf numFmtId="178" fontId="0" fillId="0" borderId="3" xfId="0" applyNumberFormat="1" applyBorder="1">
      <alignment vertical="center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179" fontId="0" fillId="7" borderId="3" xfId="0" applyNumberFormat="1" applyFill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80" fontId="0" fillId="0" borderId="3" xfId="0" applyNumberFormat="1" applyBorder="1" applyAlignment="1">
      <alignment horizontal="center" vertical="center"/>
    </xf>
    <xf numFmtId="181" fontId="0" fillId="0" borderId="3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6"/>
  <sheetViews>
    <sheetView workbookViewId="0">
      <selection activeCell="D28" sqref="D28"/>
    </sheetView>
  </sheetViews>
  <sheetFormatPr defaultColWidth="9" defaultRowHeight="16.8" outlineLevelRow="5" outlineLevelCol="5"/>
  <cols>
    <col min="1" max="1" width="12.25" customWidth="1"/>
    <col min="2" max="2" width="12.875" customWidth="1"/>
    <col min="3" max="3" width="17.125" customWidth="1"/>
    <col min="4" max="4" width="21.25" customWidth="1"/>
    <col min="5" max="5" width="18.25" customWidth="1"/>
    <col min="6" max="6" width="12.875" customWidth="1"/>
    <col min="7" max="10" width="10.6346153846154"/>
    <col min="11" max="13" width="11.8173076923077"/>
  </cols>
  <sheetData>
    <row r="2" customFormat="1" spans="1:6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</row>
    <row r="3" customFormat="1" spans="1:6">
      <c r="A3" s="16" t="s">
        <v>6</v>
      </c>
      <c r="B3" s="20">
        <v>130477.698824</v>
      </c>
      <c r="C3" s="20">
        <v>40548.725721</v>
      </c>
      <c r="D3" s="20">
        <v>53572.710357</v>
      </c>
      <c r="E3" s="20">
        <v>6476.811407</v>
      </c>
      <c r="F3" s="20">
        <v>29879.451339</v>
      </c>
    </row>
    <row r="4" customFormat="1" spans="1:6">
      <c r="A4" s="16" t="s">
        <v>7</v>
      </c>
      <c r="B4" s="20">
        <v>0</v>
      </c>
      <c r="C4" s="20">
        <v>0</v>
      </c>
      <c r="D4" s="20">
        <v>0</v>
      </c>
      <c r="E4" s="20">
        <v>0</v>
      </c>
      <c r="F4" s="20">
        <v>0</v>
      </c>
    </row>
    <row r="5" customFormat="1" spans="1:6">
      <c r="A5" s="16" t="s">
        <v>8</v>
      </c>
      <c r="B5" s="20">
        <v>0</v>
      </c>
      <c r="C5" s="20">
        <v>0</v>
      </c>
      <c r="D5" s="20">
        <v>0</v>
      </c>
      <c r="E5" s="20">
        <v>0</v>
      </c>
      <c r="F5" s="20">
        <v>0</v>
      </c>
    </row>
    <row r="6" customFormat="1" spans="1:6">
      <c r="A6" s="16" t="s">
        <v>9</v>
      </c>
      <c r="B6" s="20">
        <v>0</v>
      </c>
      <c r="C6" s="20">
        <v>0</v>
      </c>
      <c r="D6" s="20">
        <v>0</v>
      </c>
      <c r="E6" s="20">
        <v>0</v>
      </c>
      <c r="F6" s="20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15"/>
  <sheetViews>
    <sheetView workbookViewId="0">
      <selection activeCell="O22" sqref="O22"/>
    </sheetView>
  </sheetViews>
  <sheetFormatPr defaultColWidth="9" defaultRowHeight="16.8"/>
  <cols>
    <col min="1" max="1" width="10.375" customWidth="1"/>
    <col min="2" max="2" width="21.25" customWidth="1"/>
    <col min="3" max="4" width="23.375" customWidth="1"/>
    <col min="5" max="5" width="25.375" customWidth="1"/>
    <col min="6" max="7" width="27.5" customWidth="1"/>
    <col min="8" max="14" width="31.5" customWidth="1"/>
    <col min="15" max="16" width="29.625" customWidth="1"/>
    <col min="17" max="19" width="11.25"/>
  </cols>
  <sheetData>
    <row r="3" ht="37" customHeight="1" spans="1:16">
      <c r="A3" s="16" t="s">
        <v>0</v>
      </c>
      <c r="B3" s="16" t="s">
        <v>10</v>
      </c>
      <c r="C3" s="16" t="s">
        <v>11</v>
      </c>
      <c r="D3" s="16" t="s">
        <v>12</v>
      </c>
      <c r="E3" s="19" t="s">
        <v>13</v>
      </c>
      <c r="F3" s="19" t="s">
        <v>14</v>
      </c>
      <c r="G3" s="16" t="s">
        <v>15</v>
      </c>
      <c r="H3" s="19" t="s">
        <v>16</v>
      </c>
      <c r="I3" s="19" t="s">
        <v>17</v>
      </c>
      <c r="J3" s="16" t="s">
        <v>18</v>
      </c>
      <c r="K3" s="19" t="s">
        <v>19</v>
      </c>
      <c r="L3" s="19" t="s">
        <v>20</v>
      </c>
      <c r="M3" s="16" t="s">
        <v>21</v>
      </c>
      <c r="N3" s="19" t="s">
        <v>22</v>
      </c>
      <c r="O3" s="19" t="s">
        <v>23</v>
      </c>
      <c r="P3" s="16" t="s">
        <v>24</v>
      </c>
    </row>
    <row r="4" spans="1:16">
      <c r="A4" s="13">
        <v>46023</v>
      </c>
      <c r="B4" s="17">
        <v>53.66</v>
      </c>
      <c r="C4" s="17">
        <v>2.378</v>
      </c>
      <c r="D4" s="18">
        <f t="shared" ref="D4:D8" si="0">C4/B4</f>
        <v>0.0443160641073425</v>
      </c>
      <c r="E4" s="17">
        <v>23.06</v>
      </c>
      <c r="F4" s="17">
        <v>0.4262</v>
      </c>
      <c r="G4" s="18">
        <f t="shared" ref="G4:G8" si="1">F4/E4</f>
        <v>0.0184822202948829</v>
      </c>
      <c r="H4" s="17">
        <v>12.75</v>
      </c>
      <c r="I4" s="17">
        <v>0.08035398</v>
      </c>
      <c r="J4" s="18">
        <f t="shared" ref="J4:J8" si="2">I4/H4</f>
        <v>0.00630227294117647</v>
      </c>
      <c r="K4" s="17">
        <v>10.31</v>
      </c>
      <c r="L4" s="17">
        <v>0.33209116</v>
      </c>
      <c r="M4" s="18">
        <f t="shared" ref="M4:M8" si="3">L4/K4</f>
        <v>0.0322105877788555</v>
      </c>
      <c r="N4" s="17">
        <v>30.6</v>
      </c>
      <c r="O4" s="17">
        <v>1.9518</v>
      </c>
      <c r="P4" s="18">
        <f t="shared" ref="P4:P8" si="4">O4/N4</f>
        <v>0.0637843137254902</v>
      </c>
    </row>
    <row r="5" spans="1:16">
      <c r="A5" s="13">
        <v>46054</v>
      </c>
      <c r="B5" s="17">
        <v>53.66</v>
      </c>
      <c r="C5" s="17">
        <v>3.8768</v>
      </c>
      <c r="D5" s="18">
        <f t="shared" si="0"/>
        <v>0.0722474841595229</v>
      </c>
      <c r="E5" s="17">
        <v>23.06</v>
      </c>
      <c r="F5" s="17">
        <v>0.541</v>
      </c>
      <c r="G5" s="18">
        <f t="shared" si="1"/>
        <v>0.023460537727667</v>
      </c>
      <c r="H5" s="17">
        <v>12.75</v>
      </c>
      <c r="I5" s="17">
        <v>0.10622294</v>
      </c>
      <c r="J5" s="18">
        <f t="shared" si="2"/>
        <v>0.00833121098039216</v>
      </c>
      <c r="K5" s="17">
        <v>10.31</v>
      </c>
      <c r="L5" s="17">
        <v>0.49592552</v>
      </c>
      <c r="M5" s="18">
        <f t="shared" si="3"/>
        <v>0.0481014083414161</v>
      </c>
      <c r="N5" s="17">
        <v>30.6</v>
      </c>
      <c r="O5" s="17">
        <v>3.3358</v>
      </c>
      <c r="P5" s="18">
        <f t="shared" si="4"/>
        <v>0.109013071895425</v>
      </c>
    </row>
    <row r="6" spans="1:16">
      <c r="A6" s="13">
        <v>46082</v>
      </c>
      <c r="B6" s="17">
        <v>53.66</v>
      </c>
      <c r="C6" s="17">
        <v>6.2063</v>
      </c>
      <c r="D6" s="18">
        <f t="shared" si="0"/>
        <v>0.115659709280656</v>
      </c>
      <c r="E6" s="17">
        <v>23.06</v>
      </c>
      <c r="F6" s="17">
        <v>0.9097</v>
      </c>
      <c r="G6" s="18">
        <f t="shared" si="1"/>
        <v>0.0394492627927147</v>
      </c>
      <c r="H6" s="17">
        <v>12.75</v>
      </c>
      <c r="I6" s="17">
        <v>0.25339567</v>
      </c>
      <c r="J6" s="18">
        <f t="shared" si="2"/>
        <v>0.0198741701960784</v>
      </c>
      <c r="K6" s="17">
        <v>10.31</v>
      </c>
      <c r="L6" s="17">
        <v>0.89296102</v>
      </c>
      <c r="M6" s="18">
        <f t="shared" si="3"/>
        <v>0.0866111561590689</v>
      </c>
      <c r="N6" s="17">
        <v>30.6</v>
      </c>
      <c r="O6" s="17">
        <v>5.2966</v>
      </c>
      <c r="P6" s="18">
        <f t="shared" si="4"/>
        <v>0.173091503267974</v>
      </c>
    </row>
    <row r="7" spans="1:16">
      <c r="A7" s="13">
        <v>46113</v>
      </c>
      <c r="B7" s="17">
        <v>53.66</v>
      </c>
      <c r="C7" s="17">
        <v>9.8858</v>
      </c>
      <c r="D7" s="18">
        <f t="shared" si="0"/>
        <v>0.184230339172568</v>
      </c>
      <c r="E7" s="17">
        <v>23.06</v>
      </c>
      <c r="F7" s="17">
        <v>1.4559</v>
      </c>
      <c r="G7" s="18">
        <f t="shared" si="1"/>
        <v>0.0631352992194276</v>
      </c>
      <c r="H7" s="17">
        <v>12.75</v>
      </c>
      <c r="I7" s="17">
        <v>0.2674</v>
      </c>
      <c r="J7" s="18">
        <f t="shared" si="2"/>
        <v>0.0209725490196078</v>
      </c>
      <c r="K7" s="17">
        <v>10.31</v>
      </c>
      <c r="L7" s="17">
        <v>1.1885</v>
      </c>
      <c r="M7" s="18">
        <f t="shared" si="3"/>
        <v>0.115276430649854</v>
      </c>
      <c r="N7" s="17">
        <v>30.6</v>
      </c>
      <c r="O7" s="17">
        <v>8.4299</v>
      </c>
      <c r="P7" s="18">
        <f t="shared" si="4"/>
        <v>0.275486928104575</v>
      </c>
    </row>
    <row r="8" spans="1:16">
      <c r="A8" s="13">
        <v>46143</v>
      </c>
      <c r="B8" s="17">
        <v>53.66</v>
      </c>
      <c r="C8" s="17">
        <v>14.74553394</v>
      </c>
      <c r="D8" s="18">
        <f t="shared" si="0"/>
        <v>0.274795638091688</v>
      </c>
      <c r="E8" s="17">
        <v>23.06</v>
      </c>
      <c r="F8" s="17">
        <v>3.9596</v>
      </c>
      <c r="G8" s="18">
        <f t="shared" si="1"/>
        <v>0.171708586296618</v>
      </c>
      <c r="H8" s="17">
        <v>12.75</v>
      </c>
      <c r="I8" s="17">
        <v>1.62996725</v>
      </c>
      <c r="J8" s="18">
        <f t="shared" si="2"/>
        <v>0.127840568627451</v>
      </c>
      <c r="K8" s="17">
        <v>10.31</v>
      </c>
      <c r="L8" s="17">
        <v>2.32976788</v>
      </c>
      <c r="M8" s="18">
        <f t="shared" si="3"/>
        <v>0.225971666343356</v>
      </c>
      <c r="N8" s="17">
        <v>30.6</v>
      </c>
      <c r="O8" s="17">
        <v>10.7858</v>
      </c>
      <c r="P8" s="18">
        <f t="shared" si="4"/>
        <v>0.352477124183007</v>
      </c>
    </row>
    <row r="9" spans="1:16">
      <c r="A9" s="13">
        <v>46174</v>
      </c>
      <c r="B9" s="17">
        <v>53.66</v>
      </c>
      <c r="C9" s="17"/>
      <c r="D9" s="18"/>
      <c r="E9" s="17">
        <v>23.06</v>
      </c>
      <c r="F9" s="17"/>
      <c r="G9" s="18"/>
      <c r="H9" s="17">
        <v>12.75</v>
      </c>
      <c r="I9" s="17"/>
      <c r="J9" s="17"/>
      <c r="K9" s="17">
        <v>10.31</v>
      </c>
      <c r="L9" s="17"/>
      <c r="M9" s="17"/>
      <c r="N9" s="17">
        <v>30.6</v>
      </c>
      <c r="O9" s="17"/>
      <c r="P9" s="18"/>
    </row>
    <row r="10" spans="1:16">
      <c r="A10" s="13">
        <v>46204</v>
      </c>
      <c r="B10" s="17">
        <v>53.66</v>
      </c>
      <c r="C10" s="17"/>
      <c r="D10" s="18"/>
      <c r="E10" s="17">
        <v>23.06</v>
      </c>
      <c r="F10" s="17"/>
      <c r="G10" s="18"/>
      <c r="H10" s="17">
        <v>12.75</v>
      </c>
      <c r="I10" s="17"/>
      <c r="J10" s="17"/>
      <c r="K10" s="17">
        <v>10.31</v>
      </c>
      <c r="L10" s="17"/>
      <c r="M10" s="17"/>
      <c r="N10" s="17">
        <v>30.6</v>
      </c>
      <c r="O10" s="17"/>
      <c r="P10" s="18"/>
    </row>
    <row r="11" spans="1:16">
      <c r="A11" s="13">
        <v>46235</v>
      </c>
      <c r="B11" s="17">
        <v>53.66</v>
      </c>
      <c r="C11" s="17"/>
      <c r="D11" s="18"/>
      <c r="E11" s="17">
        <v>23.06</v>
      </c>
      <c r="F11" s="17"/>
      <c r="G11" s="18"/>
      <c r="H11" s="17">
        <v>12.75</v>
      </c>
      <c r="I11" s="17"/>
      <c r="J11" s="17"/>
      <c r="K11" s="17">
        <v>10.31</v>
      </c>
      <c r="L11" s="17"/>
      <c r="M11" s="17"/>
      <c r="N11" s="17">
        <v>30.6</v>
      </c>
      <c r="O11" s="17"/>
      <c r="P11" s="18"/>
    </row>
    <row r="12" spans="1:16">
      <c r="A12" s="13">
        <v>46266</v>
      </c>
      <c r="B12" s="17">
        <v>53.66</v>
      </c>
      <c r="C12" s="17"/>
      <c r="D12" s="18"/>
      <c r="E12" s="17">
        <v>23.06</v>
      </c>
      <c r="F12" s="17"/>
      <c r="G12" s="18"/>
      <c r="H12" s="17">
        <v>12.75</v>
      </c>
      <c r="I12" s="17"/>
      <c r="J12" s="17"/>
      <c r="K12" s="17">
        <v>10.31</v>
      </c>
      <c r="L12" s="17"/>
      <c r="M12" s="17"/>
      <c r="N12" s="17">
        <v>30.6</v>
      </c>
      <c r="O12" s="17"/>
      <c r="P12" s="18"/>
    </row>
    <row r="13" spans="1:16">
      <c r="A13" s="13">
        <v>46296</v>
      </c>
      <c r="B13" s="17">
        <v>53.66</v>
      </c>
      <c r="C13" s="17"/>
      <c r="D13" s="18"/>
      <c r="E13" s="17">
        <v>23.06</v>
      </c>
      <c r="F13" s="17"/>
      <c r="G13" s="18"/>
      <c r="H13" s="17">
        <v>12.75</v>
      </c>
      <c r="I13" s="17"/>
      <c r="J13" s="17"/>
      <c r="K13" s="17">
        <v>10.31</v>
      </c>
      <c r="L13" s="17"/>
      <c r="M13" s="17"/>
      <c r="N13" s="17">
        <v>30.6</v>
      </c>
      <c r="O13" s="17"/>
      <c r="P13" s="18"/>
    </row>
    <row r="14" spans="1:16">
      <c r="A14" s="13">
        <v>46327</v>
      </c>
      <c r="B14" s="17">
        <v>53.66</v>
      </c>
      <c r="C14" s="17"/>
      <c r="D14" s="18"/>
      <c r="E14" s="17">
        <v>23.06</v>
      </c>
      <c r="F14" s="17"/>
      <c r="G14" s="18"/>
      <c r="H14" s="17">
        <v>12.75</v>
      </c>
      <c r="I14" s="17"/>
      <c r="J14" s="17"/>
      <c r="K14" s="17">
        <v>10.31</v>
      </c>
      <c r="L14" s="17"/>
      <c r="M14" s="17"/>
      <c r="N14" s="17">
        <v>30.6</v>
      </c>
      <c r="O14" s="17"/>
      <c r="P14" s="18"/>
    </row>
    <row r="15" spans="1:16">
      <c r="A15" s="13">
        <v>46357</v>
      </c>
      <c r="B15" s="17">
        <v>53.66</v>
      </c>
      <c r="C15" s="17"/>
      <c r="D15" s="18"/>
      <c r="E15" s="17">
        <v>23.06</v>
      </c>
      <c r="F15" s="17"/>
      <c r="G15" s="18"/>
      <c r="H15" s="17">
        <v>12.75</v>
      </c>
      <c r="I15" s="17"/>
      <c r="J15" s="17"/>
      <c r="K15" s="17">
        <v>10.31</v>
      </c>
      <c r="L15" s="17"/>
      <c r="M15" s="17"/>
      <c r="N15" s="17">
        <v>30.6</v>
      </c>
      <c r="O15" s="17"/>
      <c r="P15" s="1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H10" sqref="H10"/>
    </sheetView>
  </sheetViews>
  <sheetFormatPr defaultColWidth="9" defaultRowHeight="16.8" outlineLevelCol="5"/>
  <cols>
    <col min="1" max="1" width="18.125" customWidth="1"/>
    <col min="2" max="2" width="13.25" customWidth="1"/>
  </cols>
  <sheetData>
    <row r="1" spans="1:6">
      <c r="A1" s="12" t="s">
        <v>0</v>
      </c>
      <c r="B1" s="12" t="s">
        <v>25</v>
      </c>
      <c r="C1" s="12" t="s">
        <v>26</v>
      </c>
      <c r="D1" s="12" t="s">
        <v>27</v>
      </c>
      <c r="E1" s="12" t="s">
        <v>28</v>
      </c>
      <c r="F1" s="15"/>
    </row>
    <row r="2" spans="1:6">
      <c r="A2" s="13">
        <v>46023</v>
      </c>
      <c r="B2" s="14">
        <v>0.04</v>
      </c>
      <c r="C2" s="14">
        <v>0.03</v>
      </c>
      <c r="D2" s="14">
        <v>0.03</v>
      </c>
      <c r="E2" s="14"/>
      <c r="F2" s="15"/>
    </row>
    <row r="3" spans="1:6">
      <c r="A3" s="13">
        <v>46054</v>
      </c>
      <c r="B3" s="14">
        <v>0.07</v>
      </c>
      <c r="C3" s="14">
        <v>0.07</v>
      </c>
      <c r="D3" s="14">
        <v>0.06</v>
      </c>
      <c r="E3" s="14">
        <f>C3-C2</f>
        <v>0.04</v>
      </c>
      <c r="F3" s="15"/>
    </row>
    <row r="4" spans="1:6">
      <c r="A4" s="13">
        <v>46082</v>
      </c>
      <c r="B4" s="14">
        <v>0.1157</v>
      </c>
      <c r="C4" s="14">
        <v>0.1157</v>
      </c>
      <c r="D4" s="14">
        <v>0.1011</v>
      </c>
      <c r="E4" s="14">
        <f>C4-C3</f>
        <v>0.0457</v>
      </c>
      <c r="F4" s="15"/>
    </row>
    <row r="5" spans="1:6">
      <c r="A5" s="13">
        <v>46113</v>
      </c>
      <c r="B5" s="14">
        <v>0.184</v>
      </c>
      <c r="C5" s="14">
        <v>0.184</v>
      </c>
      <c r="D5" s="14">
        <v>0.186</v>
      </c>
      <c r="E5" s="14">
        <f>C5-C4</f>
        <v>0.0683</v>
      </c>
      <c r="F5" s="15"/>
    </row>
    <row r="6" spans="1:6">
      <c r="A6" s="13">
        <v>46143</v>
      </c>
      <c r="B6" s="14">
        <v>0.27479563823146</v>
      </c>
      <c r="C6" s="14">
        <v>0.27479563823146</v>
      </c>
      <c r="D6" s="14">
        <v>0.237</v>
      </c>
      <c r="E6" s="14">
        <f>C6-C5</f>
        <v>0.09079563823146</v>
      </c>
      <c r="F6" s="15"/>
    </row>
    <row r="7" spans="1:6">
      <c r="A7" s="13">
        <v>46174</v>
      </c>
      <c r="B7" s="14"/>
      <c r="C7" s="14"/>
      <c r="D7" s="14">
        <v>0.2822</v>
      </c>
      <c r="E7" s="14"/>
      <c r="F7" s="15"/>
    </row>
    <row r="8" spans="1:6">
      <c r="A8" s="13">
        <v>46204</v>
      </c>
      <c r="B8" s="14"/>
      <c r="C8" s="14"/>
      <c r="D8" s="14">
        <v>0.3413</v>
      </c>
      <c r="E8" s="14"/>
      <c r="F8" s="15"/>
    </row>
    <row r="9" spans="1:6">
      <c r="A9" s="13">
        <v>46235</v>
      </c>
      <c r="B9" s="14"/>
      <c r="C9" s="14"/>
      <c r="D9" s="14">
        <v>0.3957</v>
      </c>
      <c r="E9" s="14"/>
      <c r="F9" s="15"/>
    </row>
    <row r="10" spans="1:6">
      <c r="A10" s="13">
        <v>46266</v>
      </c>
      <c r="B10" s="14"/>
      <c r="C10" s="14"/>
      <c r="D10" s="14">
        <v>0.468</v>
      </c>
      <c r="E10" s="14"/>
      <c r="F10" s="15"/>
    </row>
    <row r="11" spans="1:6">
      <c r="A11" s="13">
        <v>46296</v>
      </c>
      <c r="B11" s="14"/>
      <c r="C11" s="14"/>
      <c r="D11" s="14">
        <v>0.5165</v>
      </c>
      <c r="E11" s="14"/>
      <c r="F11" s="15"/>
    </row>
    <row r="12" spans="1:6">
      <c r="A12" s="13">
        <v>46327</v>
      </c>
      <c r="B12" s="14"/>
      <c r="C12" s="14"/>
      <c r="D12" s="14">
        <v>0.58</v>
      </c>
      <c r="E12" s="14"/>
      <c r="F12" s="15"/>
    </row>
    <row r="13" spans="1:6">
      <c r="A13" s="13">
        <v>46357</v>
      </c>
      <c r="B13" s="14"/>
      <c r="C13" s="14"/>
      <c r="D13" s="14">
        <v>0.76</v>
      </c>
      <c r="E13" s="14"/>
      <c r="F13" s="15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24" workbookViewId="0">
      <selection activeCell="C43" sqref="C43"/>
    </sheetView>
  </sheetViews>
  <sheetFormatPr defaultColWidth="9" defaultRowHeight="16.8" outlineLevelCol="3"/>
  <cols>
    <col min="1" max="1" width="18.5" customWidth="1"/>
    <col min="2" max="2" width="29.5" customWidth="1"/>
    <col min="3" max="3" width="17.5" customWidth="1"/>
    <col min="4" max="4" width="18.25" customWidth="1"/>
  </cols>
  <sheetData>
    <row r="1" ht="18" customHeight="1" spans="1:4">
      <c r="A1" s="1" t="s">
        <v>29</v>
      </c>
      <c r="B1" s="2" t="s">
        <v>30</v>
      </c>
      <c r="C1" s="2" t="s">
        <v>31</v>
      </c>
      <c r="D1" s="2" t="s">
        <v>32</v>
      </c>
    </row>
    <row r="2" ht="34.5" customHeight="1" spans="1:4">
      <c r="A2" s="3" t="s">
        <v>33</v>
      </c>
      <c r="B2" s="3" t="s">
        <v>34</v>
      </c>
      <c r="C2" s="4">
        <v>5502</v>
      </c>
      <c r="D2" s="5">
        <v>0.0590945706460448</v>
      </c>
    </row>
    <row r="3" ht="17.75" spans="1:4">
      <c r="A3" s="3" t="s">
        <v>33</v>
      </c>
      <c r="B3" s="6" t="s">
        <v>35</v>
      </c>
      <c r="C3" s="7">
        <v>816</v>
      </c>
      <c r="D3" s="5">
        <v>0.0087642983728049</v>
      </c>
    </row>
    <row r="4" ht="17.75" spans="1:4">
      <c r="A4" s="3" t="s">
        <v>33</v>
      </c>
      <c r="B4" s="3" t="s">
        <v>36</v>
      </c>
      <c r="C4" s="8">
        <v>845</v>
      </c>
      <c r="D4" s="5">
        <v>0.00907577466301488</v>
      </c>
    </row>
    <row r="5" ht="17.75" spans="1:4">
      <c r="A5" s="3" t="s">
        <v>33</v>
      </c>
      <c r="B5" s="6" t="s">
        <v>37</v>
      </c>
      <c r="C5" s="7">
        <v>936</v>
      </c>
      <c r="D5" s="5">
        <v>0.0100531657805703</v>
      </c>
    </row>
    <row r="6" ht="17.75" spans="1:4">
      <c r="A6" s="3" t="s">
        <v>33</v>
      </c>
      <c r="B6" s="3" t="s">
        <v>38</v>
      </c>
      <c r="C6" s="8">
        <v>1008</v>
      </c>
      <c r="D6" s="5">
        <v>0.0108264862252296</v>
      </c>
    </row>
    <row r="7" ht="18" customHeight="1" spans="1:4">
      <c r="A7" s="3" t="s">
        <v>33</v>
      </c>
      <c r="B7" s="6" t="s">
        <v>39</v>
      </c>
      <c r="C7" s="7">
        <v>240</v>
      </c>
      <c r="D7" s="5">
        <v>0.00257773481553085</v>
      </c>
    </row>
    <row r="8" ht="28" customHeight="1" spans="1:4">
      <c r="A8" s="6" t="s">
        <v>40</v>
      </c>
      <c r="B8" s="6" t="s">
        <v>41</v>
      </c>
      <c r="C8" s="9">
        <v>5716</v>
      </c>
      <c r="D8" s="5">
        <v>0.0613930508565598</v>
      </c>
    </row>
    <row r="9" ht="17.75" spans="1:4">
      <c r="A9" s="6" t="s">
        <v>40</v>
      </c>
      <c r="B9" s="3" t="s">
        <v>42</v>
      </c>
      <c r="C9" s="4">
        <v>3852</v>
      </c>
      <c r="D9" s="5">
        <v>0.0413726437892702</v>
      </c>
    </row>
    <row r="10" ht="18" customHeight="1" spans="1:4">
      <c r="A10" s="6" t="s">
        <v>40</v>
      </c>
      <c r="B10" s="6" t="s">
        <v>43</v>
      </c>
      <c r="C10" s="9">
        <v>5174</v>
      </c>
      <c r="D10" s="5">
        <v>0.0555716663981526</v>
      </c>
    </row>
    <row r="11" ht="17.75" spans="1:4">
      <c r="A11" s="6" t="s">
        <v>40</v>
      </c>
      <c r="B11" s="3" t="s">
        <v>44</v>
      </c>
      <c r="C11" s="4">
        <v>3621</v>
      </c>
      <c r="D11" s="5">
        <v>0.0388915740293217</v>
      </c>
    </row>
    <row r="12" ht="17.75" spans="1:4">
      <c r="A12" s="6" t="s">
        <v>40</v>
      </c>
      <c r="B12" s="6" t="s">
        <v>45</v>
      </c>
      <c r="C12" s="9">
        <v>2714</v>
      </c>
      <c r="D12" s="5">
        <v>0.0291498845389614</v>
      </c>
    </row>
    <row r="13" ht="18" customHeight="1" spans="1:4">
      <c r="A13" s="6" t="s">
        <v>40</v>
      </c>
      <c r="B13" s="3" t="s">
        <v>46</v>
      </c>
      <c r="C13" s="8">
        <v>352</v>
      </c>
      <c r="D13" s="5">
        <v>0.00378067772944525</v>
      </c>
    </row>
    <row r="14" ht="17.75" spans="1:4">
      <c r="A14" s="3" t="s">
        <v>47</v>
      </c>
      <c r="B14" s="3" t="s">
        <v>48</v>
      </c>
      <c r="C14" s="4">
        <v>1456</v>
      </c>
      <c r="D14" s="5">
        <v>0.0156382578808872</v>
      </c>
    </row>
    <row r="15" ht="18" customHeight="1" spans="1:4">
      <c r="A15" s="3" t="s">
        <v>47</v>
      </c>
      <c r="B15" s="6" t="s">
        <v>49</v>
      </c>
      <c r="C15" s="9">
        <v>1833</v>
      </c>
      <c r="D15" s="5">
        <v>0.0196874496536169</v>
      </c>
    </row>
    <row r="16" ht="17.75" spans="1:4">
      <c r="A16" s="3" t="s">
        <v>47</v>
      </c>
      <c r="B16" s="3" t="s">
        <v>50</v>
      </c>
      <c r="C16" s="4">
        <v>1184</v>
      </c>
      <c r="D16" s="5">
        <v>0.0127168250899522</v>
      </c>
    </row>
    <row r="17" ht="17.75" spans="1:4">
      <c r="A17" s="3" t="s">
        <v>47</v>
      </c>
      <c r="B17" s="6" t="s">
        <v>51</v>
      </c>
      <c r="C17" s="9">
        <v>1487</v>
      </c>
      <c r="D17" s="5">
        <v>0.0159712152945599</v>
      </c>
    </row>
    <row r="18" ht="17.75" spans="1:4">
      <c r="A18" s="10" t="s">
        <v>52</v>
      </c>
      <c r="B18" s="6" t="s">
        <v>53</v>
      </c>
      <c r="C18" s="9">
        <v>2771</v>
      </c>
      <c r="D18" s="5">
        <v>0.02976209655765</v>
      </c>
    </row>
    <row r="19" ht="17.75" spans="1:4">
      <c r="A19" s="10" t="s">
        <v>52</v>
      </c>
      <c r="B19" s="3" t="s">
        <v>54</v>
      </c>
      <c r="C19" s="4">
        <v>1597</v>
      </c>
      <c r="D19" s="5">
        <v>0.0171526770850115</v>
      </c>
    </row>
    <row r="20" ht="17.75" spans="1:4">
      <c r="A20" s="10" t="s">
        <v>52</v>
      </c>
      <c r="B20" s="3" t="s">
        <v>55</v>
      </c>
      <c r="C20" s="8">
        <v>401</v>
      </c>
      <c r="D20" s="5">
        <v>0.0043069652542828</v>
      </c>
    </row>
    <row r="21" ht="17.75" spans="1:4">
      <c r="A21" s="10" t="s">
        <v>52</v>
      </c>
      <c r="B21" s="6" t="s">
        <v>56</v>
      </c>
      <c r="C21" s="7">
        <v>448</v>
      </c>
      <c r="D21" s="5">
        <v>0.00481177165565759</v>
      </c>
    </row>
    <row r="22" ht="17.75" spans="1:4">
      <c r="A22" s="10" t="s">
        <v>52</v>
      </c>
      <c r="B22" s="3" t="s">
        <v>57</v>
      </c>
      <c r="C22" s="8">
        <v>282</v>
      </c>
      <c r="D22" s="5">
        <v>0.00302883840824875</v>
      </c>
    </row>
    <row r="23" ht="17.75" spans="1:4">
      <c r="A23" s="10" t="s">
        <v>52</v>
      </c>
      <c r="B23" s="6" t="s">
        <v>58</v>
      </c>
      <c r="C23" s="7">
        <v>224</v>
      </c>
      <c r="D23" s="5">
        <v>0.0024058858278288</v>
      </c>
    </row>
    <row r="24" ht="17.75" spans="1:4">
      <c r="A24" s="10" t="s">
        <v>52</v>
      </c>
      <c r="B24" s="3" t="s">
        <v>59</v>
      </c>
      <c r="C24" s="8">
        <v>1</v>
      </c>
      <c r="D24" s="5">
        <v>1.07405617313786e-5</v>
      </c>
    </row>
    <row r="25" ht="17.75" spans="1:4">
      <c r="A25" s="11" t="s">
        <v>60</v>
      </c>
      <c r="B25" s="3" t="s">
        <v>61</v>
      </c>
      <c r="C25" s="4">
        <v>8223</v>
      </c>
      <c r="D25" s="5">
        <v>0.0883196391171258</v>
      </c>
    </row>
    <row r="26" ht="17.75" spans="1:4">
      <c r="A26" s="3" t="s">
        <v>62</v>
      </c>
      <c r="B26" s="3" t="s">
        <v>63</v>
      </c>
      <c r="C26" s="4">
        <v>15216</v>
      </c>
      <c r="D26" s="5">
        <v>0.163428387304656</v>
      </c>
    </row>
    <row r="27" ht="17.75" spans="1:4">
      <c r="A27" s="3" t="s">
        <v>62</v>
      </c>
      <c r="B27" s="6" t="s">
        <v>64</v>
      </c>
      <c r="C27" s="9">
        <v>10824</v>
      </c>
      <c r="D27" s="5">
        <v>0.116255840180441</v>
      </c>
    </row>
    <row r="28" ht="34.75" spans="1:4">
      <c r="A28" s="3" t="s">
        <v>62</v>
      </c>
      <c r="B28" s="3" t="s">
        <v>65</v>
      </c>
      <c r="C28" s="4">
        <v>6374</v>
      </c>
      <c r="D28" s="5">
        <v>0.0684603404758069</v>
      </c>
    </row>
    <row r="29" ht="17.75" spans="1:4">
      <c r="A29" s="3" t="s">
        <v>62</v>
      </c>
      <c r="B29" s="6" t="s">
        <v>66</v>
      </c>
      <c r="C29" s="7">
        <v>727</v>
      </c>
      <c r="D29" s="5">
        <v>0.00780838837871221</v>
      </c>
    </row>
    <row r="30" ht="17.75" spans="1:4">
      <c r="A30" s="3" t="s">
        <v>62</v>
      </c>
      <c r="B30" s="6" t="s">
        <v>67</v>
      </c>
      <c r="C30" s="7">
        <v>806</v>
      </c>
      <c r="D30" s="5">
        <v>0.00865689275549111</v>
      </c>
    </row>
    <row r="31" ht="17.75" spans="1:4">
      <c r="A31" s="3" t="s">
        <v>62</v>
      </c>
      <c r="B31" s="3" t="s">
        <v>68</v>
      </c>
      <c r="C31" s="8">
        <v>53</v>
      </c>
      <c r="D31" s="5">
        <v>0.000569249771763063</v>
      </c>
    </row>
    <row r="32" ht="17.75" spans="1:4">
      <c r="A32" s="6" t="s">
        <v>69</v>
      </c>
      <c r="B32" s="3" t="s">
        <v>70</v>
      </c>
      <c r="C32" s="4">
        <v>1626</v>
      </c>
      <c r="D32" s="5">
        <v>0.0174641533752215</v>
      </c>
    </row>
    <row r="33" ht="17.75" spans="1:4">
      <c r="A33" s="6" t="s">
        <v>69</v>
      </c>
      <c r="B33" s="6" t="s">
        <v>71</v>
      </c>
      <c r="C33" s="7">
        <v>1074</v>
      </c>
      <c r="D33" s="5">
        <v>0.0115353632995006</v>
      </c>
    </row>
    <row r="34" ht="17.75" spans="1:4">
      <c r="A34" s="6" t="s">
        <v>69</v>
      </c>
      <c r="B34" s="3" t="s">
        <v>72</v>
      </c>
      <c r="C34" s="8">
        <v>592</v>
      </c>
      <c r="D34" s="5">
        <v>0.0063584125449761</v>
      </c>
    </row>
    <row r="35" ht="17.75" spans="1:4">
      <c r="A35" s="6" t="s">
        <v>69</v>
      </c>
      <c r="B35" s="6" t="s">
        <v>73</v>
      </c>
      <c r="C35" s="7">
        <v>505</v>
      </c>
      <c r="D35" s="5">
        <v>0.00542398367434617</v>
      </c>
    </row>
    <row r="36" ht="17.75" spans="1:4">
      <c r="A36" s="6" t="s">
        <v>69</v>
      </c>
      <c r="B36" s="3" t="s">
        <v>74</v>
      </c>
      <c r="C36" s="8">
        <v>501</v>
      </c>
      <c r="D36" s="5">
        <v>0.00538102142742065</v>
      </c>
    </row>
    <row r="37" ht="17.75" spans="1:4">
      <c r="A37" s="6" t="s">
        <v>69</v>
      </c>
      <c r="B37" s="6" t="s">
        <v>75</v>
      </c>
      <c r="C37" s="7">
        <v>943</v>
      </c>
      <c r="D37" s="5">
        <v>0.01012834971269</v>
      </c>
    </row>
    <row r="38" ht="17.75" spans="1:4">
      <c r="A38" s="3" t="s">
        <v>76</v>
      </c>
      <c r="B38" s="3" t="s">
        <v>77</v>
      </c>
      <c r="C38" s="4">
        <v>1859</v>
      </c>
      <c r="D38" s="5">
        <v>0.0199667042586327</v>
      </c>
    </row>
    <row r="39" ht="17.75" spans="1:4">
      <c r="A39" s="3" t="s">
        <v>76</v>
      </c>
      <c r="B39" s="6" t="s">
        <v>78</v>
      </c>
      <c r="C39" s="7">
        <v>117</v>
      </c>
      <c r="D39" s="5">
        <v>0.00125664572257129</v>
      </c>
    </row>
    <row r="40" ht="17.75" spans="1:4">
      <c r="A40" s="6" t="s">
        <v>79</v>
      </c>
      <c r="B40" s="3" t="s">
        <v>80</v>
      </c>
      <c r="C40" s="8">
        <v>1157</v>
      </c>
      <c r="D40" s="5">
        <v>0.012426829923205</v>
      </c>
    </row>
    <row r="41" ht="17.75" spans="1:4">
      <c r="A41" s="6" t="s">
        <v>79</v>
      </c>
      <c r="B41" s="6" t="s">
        <v>81</v>
      </c>
      <c r="C41" s="7">
        <v>48</v>
      </c>
      <c r="D41" s="5">
        <v>0.00051554696310617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对外披露</vt:lpstr>
      <vt:lpstr>科技投入情况</vt:lpstr>
      <vt:lpstr>执行率</vt:lpstr>
      <vt:lpstr>成本分摊机构汇总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</cp:lastModifiedBy>
  <dcterms:created xsi:type="dcterms:W3CDTF">2023-05-13T11:15:00Z</dcterms:created>
  <dcterms:modified xsi:type="dcterms:W3CDTF">2026-08-29T14:25:31Z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5F37B8897E794718B99A52F4B37F356F_13</vt:lpwstr>
  </property>
  <property fmtid="{D5CDD505-2E9C-101B-9397-08002B2CF9AE}" pid="4" name="CalculationRule">
    <vt:i4>0</vt:i4>
  </property>
  <property fmtid="{D5CDD505-2E9C-101B-9397-08002B2CF9AE}" pid="5" name="DSMMark">
    <vt:i4>0</vt:i4>
  </property>
</Properties>
</file>