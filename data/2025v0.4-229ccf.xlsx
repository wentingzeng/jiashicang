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740" tabRatio="695" activeTab="1"/>
  </bookViews>
  <sheets>
    <sheet name="网络安全检查" sheetId="126" r:id="rId1"/>
    <sheet name="网络安全管理指标" sheetId="128" r:id="rId2"/>
    <sheet name="网络安全检查发现问题" sheetId="127" r:id="rId3"/>
    <sheet name="员工安全画像" sheetId="130" r:id="rId4"/>
    <sheet name="WpsReserved_CellImgList" sheetId="118" state="veryHidden" r:id="rId5"/>
  </sheets>
  <definedNames>
    <definedName name="_xlnm._FilterDatabase" localSheetId="0" hidden="1">网络安全检查!$A$1:$O$45</definedName>
    <definedName name="_xlnm._FilterDatabase" localSheetId="3" hidden="1">员工安全画像!$A$1:$D$45</definedName>
  </definedNames>
  <calcPr calcId="144525"/>
</workbook>
</file>

<file path=xl/sharedStrings.xml><?xml version="1.0" encoding="utf-8"?>
<sst xmlns="http://schemas.openxmlformats.org/spreadsheetml/2006/main" count="321" uniqueCount="171">
  <si>
    <t>序号</t>
  </si>
  <si>
    <t>类别</t>
  </si>
  <si>
    <t>分行</t>
  </si>
  <si>
    <t>省份</t>
  </si>
  <si>
    <t>城市</t>
  </si>
  <si>
    <t>压实网络安全责任</t>
  </si>
  <si>
    <t>网络安全重要通知和工作部署落实情况及个人信息保护</t>
  </si>
  <si>
    <t>及时发现及整改网络安全风险隐患</t>
  </si>
  <si>
    <t>研发安全</t>
  </si>
  <si>
    <t>总分行一体化安全运营落实情况</t>
  </si>
  <si>
    <t>分行网络安全工作亮点、集团贡献情况</t>
  </si>
  <si>
    <t>其他扣分项</t>
  </si>
  <si>
    <t>网络安全全年合计总分</t>
  </si>
  <si>
    <t>排名2025年（按等级行）</t>
  </si>
  <si>
    <t>排名2025年（按全行)</t>
  </si>
  <si>
    <t>考评年度</t>
  </si>
  <si>
    <t>机构类别</t>
  </si>
  <si>
    <t>一等行</t>
  </si>
  <si>
    <t>南京分行</t>
  </si>
  <si>
    <t>江苏省</t>
  </si>
  <si>
    <t>南京</t>
  </si>
  <si>
    <t>上海分行</t>
  </si>
  <si>
    <t>上海市</t>
  </si>
  <si>
    <t>上海</t>
  </si>
  <si>
    <t>北京分行</t>
  </si>
  <si>
    <t>北京市</t>
  </si>
  <si>
    <t>北京</t>
  </si>
  <si>
    <t>杭州分行</t>
  </si>
  <si>
    <t>浙江省</t>
  </si>
  <si>
    <t>杭州</t>
  </si>
  <si>
    <t>广州分行</t>
  </si>
  <si>
    <t>广东省</t>
  </si>
  <si>
    <t>广州</t>
  </si>
  <si>
    <t>深圳分行</t>
  </si>
  <si>
    <t>深圳</t>
  </si>
  <si>
    <t>济南分行</t>
  </si>
  <si>
    <t>山东省</t>
  </si>
  <si>
    <t>济南</t>
  </si>
  <si>
    <t>福州分行</t>
  </si>
  <si>
    <t>福建省</t>
  </si>
  <si>
    <t>福州</t>
  </si>
  <si>
    <t>二等行</t>
  </si>
  <si>
    <t>成都分行</t>
  </si>
  <si>
    <t>四川省</t>
  </si>
  <si>
    <t>成都</t>
  </si>
  <si>
    <t>太原分行</t>
  </si>
  <si>
    <t>山西省</t>
  </si>
  <si>
    <t>太原</t>
  </si>
  <si>
    <t>武汉分行</t>
  </si>
  <si>
    <t>湖北省</t>
  </si>
  <si>
    <t>武汉</t>
  </si>
  <si>
    <t>合肥分行</t>
  </si>
  <si>
    <t>安徽省</t>
  </si>
  <si>
    <t>合肥</t>
  </si>
  <si>
    <t>石家庄分行</t>
  </si>
  <si>
    <t>河北省</t>
  </si>
  <si>
    <t>石家庄</t>
  </si>
  <si>
    <t>长沙分行</t>
  </si>
  <si>
    <t>湖南省</t>
  </si>
  <si>
    <t>长沙</t>
  </si>
  <si>
    <t>郑州分行</t>
  </si>
  <si>
    <t>河南省</t>
  </si>
  <si>
    <t>郑州</t>
  </si>
  <si>
    <t>厦门分行</t>
  </si>
  <si>
    <t>厦门</t>
  </si>
  <si>
    <t>西安分行</t>
  </si>
  <si>
    <t>陕西省</t>
  </si>
  <si>
    <t>三等行</t>
  </si>
  <si>
    <t>南昌分行</t>
  </si>
  <si>
    <t>江西省</t>
  </si>
  <si>
    <t>苏州分行</t>
  </si>
  <si>
    <t>苏州</t>
  </si>
  <si>
    <t>重庆分行</t>
  </si>
  <si>
    <t>重庆市</t>
  </si>
  <si>
    <t>呼和浩特分行</t>
  </si>
  <si>
    <t>内蒙古自治区</t>
  </si>
  <si>
    <t>泉州分行</t>
  </si>
  <si>
    <t>泉州</t>
  </si>
  <si>
    <t>沈阳分行</t>
  </si>
  <si>
    <t>辽宁省</t>
  </si>
  <si>
    <t>沈阳</t>
  </si>
  <si>
    <t>乌鲁木齐分行</t>
  </si>
  <si>
    <t>新疆维吾尔自治区</t>
  </si>
  <si>
    <t>宁波分行</t>
  </si>
  <si>
    <t>宁波</t>
  </si>
  <si>
    <t>南宁分行</t>
  </si>
  <si>
    <t>广西壮族自治区</t>
  </si>
  <si>
    <t>四等行</t>
  </si>
  <si>
    <t>天津分行</t>
  </si>
  <si>
    <t>天津市</t>
  </si>
  <si>
    <t>天津</t>
  </si>
  <si>
    <t>青岛分行</t>
  </si>
  <si>
    <t>青岛</t>
  </si>
  <si>
    <t>哈尔滨分行</t>
  </si>
  <si>
    <t>黑龙江省</t>
  </si>
  <si>
    <t>长春分行</t>
  </si>
  <si>
    <t>吉林省</t>
  </si>
  <si>
    <t>昆明分行</t>
  </si>
  <si>
    <t>云南省</t>
  </si>
  <si>
    <t>大连分行</t>
  </si>
  <si>
    <t>大连</t>
  </si>
  <si>
    <t>兰州分行</t>
  </si>
  <si>
    <t>甘肃省</t>
  </si>
  <si>
    <t>银川分行</t>
  </si>
  <si>
    <t>宁夏回族自治区</t>
  </si>
  <si>
    <t>贵阳分行</t>
  </si>
  <si>
    <t>贵州省</t>
  </si>
  <si>
    <t>五等行</t>
  </si>
  <si>
    <t>漳州分行</t>
  </si>
  <si>
    <t>漳州</t>
  </si>
  <si>
    <t>宁德分行</t>
  </si>
  <si>
    <t>宁德</t>
  </si>
  <si>
    <t>龙岩分行</t>
  </si>
  <si>
    <t>龙岩</t>
  </si>
  <si>
    <t>三明分行</t>
  </si>
  <si>
    <t>三明</t>
  </si>
  <si>
    <t>南平分行</t>
  </si>
  <si>
    <t>南平</t>
  </si>
  <si>
    <t>莆田分行</t>
  </si>
  <si>
    <t>莆田</t>
  </si>
  <si>
    <t>西宁分行</t>
  </si>
  <si>
    <t>青海省</t>
  </si>
  <si>
    <t>拉萨分行</t>
  </si>
  <si>
    <t>西藏自治区</t>
  </si>
  <si>
    <t>海口分行</t>
  </si>
  <si>
    <t>海南省</t>
  </si>
  <si>
    <t>指标分类</t>
  </si>
  <si>
    <t>指标名称</t>
  </si>
  <si>
    <t>指标定义及口径说明</t>
  </si>
  <si>
    <t>2025年指标数值</t>
  </si>
  <si>
    <t>安全事件</t>
  </si>
  <si>
    <t>全行特别重大、重大网络安全事件数</t>
  </si>
  <si>
    <t>全行不发生特别重大和重大网络安全事件。</t>
  </si>
  <si>
    <t>0</t>
  </si>
  <si>
    <t>安全检查</t>
  </si>
  <si>
    <t>网络安全检查分支机构覆盖面</t>
  </si>
  <si>
    <t>网络安全综合检查和专项检查情况。</t>
  </si>
  <si>
    <t>100%</t>
  </si>
  <si>
    <t>网络安全运营</t>
  </si>
  <si>
    <t>安全工单自动化派发率</t>
  </si>
  <si>
    <t>统计自动化派发的安全工单数/安全工单总数。</t>
  </si>
  <si>
    <t>50%</t>
  </si>
  <si>
    <t>安全告警AI研判准确率</t>
  </si>
  <si>
    <t>统计基于AI研判后告警发起的安全工单数/AI研判的安全设备安全工单总数。</t>
  </si>
  <si>
    <t>90%</t>
  </si>
  <si>
    <t>数据安全事件</t>
  </si>
  <si>
    <t>全行特别重大、重大数据安全事件数</t>
  </si>
  <si>
    <t>全行不发生特别重大和重大数据安全事件。</t>
  </si>
  <si>
    <t>商用密码应用</t>
  </si>
  <si>
    <t>商用密码应用安全性评估通过率</t>
  </si>
  <si>
    <t>三级及以上等保系统数已通过密评的比例。</t>
  </si>
  <si>
    <t>60%</t>
  </si>
  <si>
    <t>检查问题分类</t>
  </si>
  <si>
    <t>检查问题比例</t>
  </si>
  <si>
    <t>检查问题数量</t>
  </si>
  <si>
    <t>表现突出的三家分行</t>
  </si>
  <si>
    <t>表现较差的三家分行</t>
  </si>
  <si>
    <t>物理安防管理</t>
  </si>
  <si>
    <t>网络管理</t>
  </si>
  <si>
    <t>金融专网</t>
  </si>
  <si>
    <t>信息发布大屏</t>
  </si>
  <si>
    <t>研发及运维管理</t>
  </si>
  <si>
    <t>个人信息保护</t>
  </si>
  <si>
    <t>漏洞补丁修复</t>
  </si>
  <si>
    <t>员工安全意识</t>
  </si>
  <si>
    <t>检查问题总数</t>
  </si>
  <si>
    <t>单位名称</t>
  </si>
  <si>
    <t>安全培训人次</t>
  </si>
  <si>
    <t>违规记分人次</t>
  </si>
  <si>
    <t>安全培训覆盖率</t>
  </si>
  <si>
    <t>总数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</si>
</sst>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_);[Red]\(0\)"/>
  </numFmts>
  <fonts count="48">
    <font>
      <sz val="12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name val="Geneva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2"/>
      <name val="Times New Roman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Calibri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Calibri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970">
    <xf numFmtId="0" fontId="0" fillId="0" borderId="0"/>
    <xf numFmtId="42" fontId="1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7" borderId="10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1" applyNumberFormat="0" applyFont="0" applyAlignment="0" applyProtection="0">
      <alignment vertical="center"/>
    </xf>
    <xf numFmtId="0" fontId="1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22" fillId="15" borderId="1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15" borderId="10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15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0" fillId="20" borderId="16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27" borderId="19" applyNumberFormat="0" applyAlignment="0" applyProtection="0">
      <alignment vertical="center"/>
    </xf>
    <xf numFmtId="0" fontId="1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30" fillId="27" borderId="19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0" borderId="0">
      <protection locked="0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45" borderId="0" applyNumberFormat="0" applyBorder="0" applyAlignment="0" applyProtection="0">
      <alignment vertical="center"/>
    </xf>
    <xf numFmtId="0" fontId="0" fillId="0" borderId="0"/>
    <xf numFmtId="0" fontId="34" fillId="46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51" borderId="0" applyNumberFormat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0" fillId="0" borderId="0" applyFont="0" applyFill="0" applyBorder="0" applyAlignment="0" applyProtection="0"/>
    <xf numFmtId="0" fontId="35" fillId="0" borderId="20" applyNumberFormat="0" applyFill="0" applyAlignment="0" applyProtection="0">
      <alignment vertical="center"/>
    </xf>
    <xf numFmtId="0" fontId="1" fillId="0" borderId="0">
      <alignment vertical="center"/>
    </xf>
    <xf numFmtId="0" fontId="36" fillId="0" borderId="21" applyNumberFormat="0" applyFill="0" applyAlignment="0" applyProtection="0">
      <alignment vertical="center"/>
    </xf>
    <xf numFmtId="0" fontId="1" fillId="0" borderId="0">
      <alignment vertical="center"/>
    </xf>
    <xf numFmtId="0" fontId="37" fillId="0" borderId="22" applyNumberFormat="0" applyFill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39" fillId="41" borderId="0" applyNumberFormat="0" applyBorder="0" applyAlignment="0" applyProtection="0">
      <alignment vertical="center"/>
    </xf>
    <xf numFmtId="0" fontId="0" fillId="0" borderId="0"/>
    <xf numFmtId="0" fontId="33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27" borderId="19" applyNumberFormat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protection locked="0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20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20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20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4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27" borderId="19" applyNumberFormat="0" applyAlignment="0" applyProtection="0">
      <alignment vertical="center"/>
    </xf>
    <xf numFmtId="0" fontId="1" fillId="0" borderId="0">
      <alignment vertical="center"/>
    </xf>
    <xf numFmtId="0" fontId="30" fillId="27" borderId="1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20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20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2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27" borderId="1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2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2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protection locked="0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43" borderId="2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43" borderId="2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27" borderId="2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43" borderId="24" applyNumberFormat="0" applyAlignment="0" applyProtection="0">
      <alignment vertical="center"/>
    </xf>
    <xf numFmtId="0" fontId="1" fillId="0" borderId="0">
      <alignment vertical="center"/>
    </xf>
    <xf numFmtId="0" fontId="42" fillId="43" borderId="24" applyNumberFormat="0" applyAlignment="0" applyProtection="0">
      <alignment vertical="center"/>
    </xf>
    <xf numFmtId="0" fontId="1" fillId="0" borderId="0">
      <alignment vertical="center"/>
    </xf>
    <xf numFmtId="0" fontId="42" fillId="43" borderId="2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5" fillId="55" borderId="25" applyNumberFormat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3" fillId="27" borderId="24" applyNumberFormat="0" applyAlignment="0" applyProtection="0">
      <alignment vertical="center"/>
    </xf>
    <xf numFmtId="0" fontId="43" fillId="27" borderId="24" applyNumberFormat="0" applyAlignment="0" applyProtection="0">
      <alignment vertical="center"/>
    </xf>
    <xf numFmtId="0" fontId="43" fillId="27" borderId="24" applyNumberFormat="0" applyAlignment="0" applyProtection="0">
      <alignment vertical="center"/>
    </xf>
    <xf numFmtId="0" fontId="43" fillId="27" borderId="24" applyNumberFormat="0" applyAlignment="0" applyProtection="0">
      <alignment vertical="center"/>
    </xf>
    <xf numFmtId="0" fontId="43" fillId="27" borderId="24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0" fillId="27" borderId="19" applyNumberFormat="0" applyAlignment="0" applyProtection="0">
      <alignment vertical="center"/>
    </xf>
    <xf numFmtId="0" fontId="42" fillId="43" borderId="24" applyNumberFormat="0" applyAlignment="0" applyProtection="0">
      <alignment vertical="center"/>
    </xf>
    <xf numFmtId="0" fontId="25" fillId="0" borderId="0"/>
  </cellStyleXfs>
  <cellXfs count="4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43" fontId="1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0" fillId="0" borderId="0" xfId="0" applyNumberFormat="1"/>
    <xf numFmtId="177" fontId="1" fillId="0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0" fillId="2" borderId="1" xfId="0" applyNumberFormat="1" applyFill="1" applyBorder="1"/>
    <xf numFmtId="10" fontId="0" fillId="0" borderId="0" xfId="0" applyNumberFormat="1"/>
    <xf numFmtId="9" fontId="0" fillId="0" borderId="0" xfId="0" applyNumberFormat="1"/>
    <xf numFmtId="49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5" xfId="353" applyFont="1" applyFill="1" applyBorder="1" applyAlignment="1" applyProtection="1">
      <alignment horizontal="center" vertical="center" wrapText="1"/>
      <protection locked="0"/>
    </xf>
    <xf numFmtId="0" fontId="4" fillId="0" borderId="6" xfId="353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</cellXfs>
  <cellStyles count="970">
    <cellStyle name="常规" xfId="0" builtinId="0"/>
    <cellStyle name="货币[0]" xfId="1" builtinId="7"/>
    <cellStyle name="20% - 强调文字颜色 3" xfId="2" builtinId="38"/>
    <cellStyle name="常规 6 2 3 5" xfId="3"/>
    <cellStyle name="常规 6 2 3 3 2" xfId="4"/>
    <cellStyle name="好_分行分管科技行领导" xfId="5"/>
    <cellStyle name="20% - 强调文字颜色 1 2" xfId="6"/>
    <cellStyle name="常规 6 7 3" xfId="7"/>
    <cellStyle name="常规 9 2 2 3" xfId="8"/>
    <cellStyle name="输入" xfId="9" builtinId="20"/>
    <cellStyle name="货币" xfId="10" builtinId="4"/>
    <cellStyle name="千位分隔 2 6" xfId="11"/>
    <cellStyle name="千位分隔[0]" xfId="12" builtinId="6"/>
    <cellStyle name="常规 9 5 4" xfId="13"/>
    <cellStyle name="常规 6 3 3 4 2" xfId="14"/>
    <cellStyle name="常规 9 9" xfId="15"/>
    <cellStyle name="_附件7 2013年分行综合考评办法指标体系（征求意见版）" xfId="16"/>
    <cellStyle name="常规 7 2 2 3 2 2" xfId="17"/>
    <cellStyle name="常规 6 4 6 2" xfId="18"/>
    <cellStyle name="常规 6 2 2 2 2 2 2" xfId="19"/>
    <cellStyle name="常规 6 2 2 3 2 3" xfId="20"/>
    <cellStyle name="40% - 强调文字颜色 3" xfId="21" builtinId="39"/>
    <cellStyle name="差" xfId="22" builtinId="27"/>
    <cellStyle name="常规 6 2 3 2 5" xfId="23"/>
    <cellStyle name="常规 6 2 2 2 4 2" xfId="24"/>
    <cellStyle name="千位分隔" xfId="25" builtinId="3"/>
    <cellStyle name="常规 7 4 3 4" xfId="26"/>
    <cellStyle name="常规 7 3" xfId="27"/>
    <cellStyle name="常规 9 7 4" xfId="28"/>
    <cellStyle name="常规 6 3 3 6 2" xfId="29"/>
    <cellStyle name="60% - 强调文字颜色 3" xfId="30" builtinId="40"/>
    <cellStyle name="超链接" xfId="31" builtinId="8"/>
    <cellStyle name="千位分隔 2 4 4" xfId="32"/>
    <cellStyle name="常规 6 3 2 4 3 2" xfId="33"/>
    <cellStyle name="百分比" xfId="34" builtinId="5"/>
    <cellStyle name="常规 10 2 2 3" xfId="35"/>
    <cellStyle name="已访问的超链接" xfId="36" builtinId="9"/>
    <cellStyle name="常规 6 3 2 2 2 2 2" xfId="37"/>
    <cellStyle name="常规 6 3 3 4 3" xfId="38"/>
    <cellStyle name="注释" xfId="39" builtinId="10"/>
    <cellStyle name="常规 6" xfId="40"/>
    <cellStyle name="60% - 强调文字颜色 2" xfId="41" builtinId="36"/>
    <cellStyle name="常规 6 2 6 3 2" xfId="42"/>
    <cellStyle name="常规 9 4 4 2" xfId="43"/>
    <cellStyle name="常规 6 3 3 3 2 2" xfId="44"/>
    <cellStyle name="标题 4" xfId="45" builtinId="19"/>
    <cellStyle name="警告文本" xfId="46" builtinId="11"/>
    <cellStyle name="常规 6 2 5 2 2 2" xfId="47"/>
    <cellStyle name="常规 6 5" xfId="48"/>
    <cellStyle name="标题" xfId="49" builtinId="15"/>
    <cellStyle name="常规 6 3 3 3" xfId="50"/>
    <cellStyle name="解释性文本" xfId="51" builtinId="53"/>
    <cellStyle name="标题 1" xfId="52" builtinId="16"/>
    <cellStyle name="百分比 4" xfId="53"/>
    <cellStyle name="标题 2" xfId="54" builtinId="17"/>
    <cellStyle name="百分比 5" xfId="55"/>
    <cellStyle name="60% - 强调文字颜色 1" xfId="56" builtinId="32"/>
    <cellStyle name="标题 3" xfId="57" builtinId="18"/>
    <cellStyle name="常规 6 3 2 2" xfId="58"/>
    <cellStyle name="60% - 强调文字颜色 4" xfId="59" builtinId="44"/>
    <cellStyle name="输出" xfId="60" builtinId="21"/>
    <cellStyle name="常规 6 2 2 2 2 2" xfId="61"/>
    <cellStyle name="常规 6 4 6" xfId="62"/>
    <cellStyle name="计算" xfId="63" builtinId="22"/>
    <cellStyle name="40% - 强调文字颜色 4 2" xfId="64"/>
    <cellStyle name="检查单元格" xfId="65" builtinId="23"/>
    <cellStyle name="20% - 强调文字颜色 6" xfId="66" builtinId="50"/>
    <cellStyle name="千位分隔 2 3 2 2" xfId="67"/>
    <cellStyle name="常规 7 3 2 3 2 2" xfId="68"/>
    <cellStyle name="强调文字颜色 2" xfId="69" builtinId="33"/>
    <cellStyle name="常规 7 2 5 3 2" xfId="70"/>
    <cellStyle name="常规 6 2 3 2 2 4" xfId="71"/>
    <cellStyle name="常规 6 6 3 4" xfId="72"/>
    <cellStyle name="样式 1 2 2" xfId="73"/>
    <cellStyle name="常规 6 5 2 4 2" xfId="74"/>
    <cellStyle name="注释 2 3" xfId="75"/>
    <cellStyle name="常规 6 2 3" xfId="76"/>
    <cellStyle name="链接单元格" xfId="77" builtinId="24"/>
    <cellStyle name="汇总" xfId="78" builtinId="25"/>
    <cellStyle name="常规 6 3 2 2 2 3" xfId="79"/>
    <cellStyle name="常规 6 2 2 2 5" xfId="80"/>
    <cellStyle name="好" xfId="81" builtinId="26"/>
    <cellStyle name="适中" xfId="82" builtinId="28"/>
    <cellStyle name="常规 6 2 3 5 3" xfId="83"/>
    <cellStyle name="20% - 强调文字颜色 5" xfId="84" builtinId="46"/>
    <cellStyle name="常规 7 4 4 3" xfId="85"/>
    <cellStyle name="常规 6 5 3 2 2" xfId="86"/>
    <cellStyle name="常规 6 2 3 7" xfId="87"/>
    <cellStyle name="强调文字颜色 1" xfId="88" builtinId="29"/>
    <cellStyle name="常规 7 3 6 2" xfId="89"/>
    <cellStyle name="常规 6 2 3 2 2 3" xfId="90"/>
    <cellStyle name="常规 6 2 3 3" xfId="91"/>
    <cellStyle name="20% - 强调文字颜色 1" xfId="92" builtinId="30"/>
    <cellStyle name="40% - 强调文字颜色 1" xfId="93" builtinId="31"/>
    <cellStyle name="常规 7 4 5" xfId="94"/>
    <cellStyle name="输出 2" xfId="95"/>
    <cellStyle name="常规 6 2 3 4" xfId="96"/>
    <cellStyle name="20% - 强调文字颜色 2" xfId="97" builtinId="34"/>
    <cellStyle name="40% - 强调文字颜色 2" xfId="98" builtinId="35"/>
    <cellStyle name="常规 6 2 2 3 2 2" xfId="99"/>
    <cellStyle name="强调文字颜色 3" xfId="100" builtinId="37"/>
    <cellStyle name="千位分隔 2 2 4 2" xfId="101"/>
    <cellStyle name="千位分隔 2 6 2" xfId="102"/>
    <cellStyle name="常规 6 5 2 4 3" xfId="103"/>
    <cellStyle name="强调文字颜色 4" xfId="104" builtinId="41"/>
    <cellStyle name="千位分隔 2 2 4 3" xfId="105"/>
    <cellStyle name="千位分隔 2 6 3" xfId="106"/>
    <cellStyle name="常规 10 3 3 2" xfId="107"/>
    <cellStyle name="20% - 强调文字颜色 4" xfId="108" builtinId="42"/>
    <cellStyle name="常规 7 4 4 2" xfId="109"/>
    <cellStyle name="常规 6 2 3 6" xfId="110"/>
    <cellStyle name="40% - 强调文字颜色 4" xfId="111" builtinId="43"/>
    <cellStyle name="常规 6 2 2 2 2 2 3" xfId="112"/>
    <cellStyle name="强调文字颜色 5" xfId="113" builtinId="45"/>
    <cellStyle name="40% - 强调文字颜色 5" xfId="114" builtinId="47"/>
    <cellStyle name="常规 6 3 2 3 2 2 2" xfId="115"/>
    <cellStyle name="常规 6 3 2 3" xfId="116"/>
    <cellStyle name="60% - 强调文字颜色 5" xfId="117" builtinId="48"/>
    <cellStyle name="强调文字颜色 6" xfId="118" builtinId="49"/>
    <cellStyle name="适中 2" xfId="119"/>
    <cellStyle name="常规 6 2 3 5 3 2" xfId="120"/>
    <cellStyle name="40% - 强调文字颜色 6" xfId="121" builtinId="51"/>
    <cellStyle name="60% - 强调文字颜色 6" xfId="122" builtinId="52"/>
    <cellStyle name="常规 7 2 2 2 2" xfId="123"/>
    <cellStyle name="常规 6 3 2 4" xfId="124"/>
    <cellStyle name="_ET_STYLE_NoName_00_" xfId="125"/>
    <cellStyle name="常规 7 4 2 4" xfId="126"/>
    <cellStyle name="_ET_STYLE_NoName_00_ 2" xfId="127"/>
    <cellStyle name="常规 6 3" xfId="128"/>
    <cellStyle name="_ET_STYLE_NoName_00_ 3" xfId="129"/>
    <cellStyle name="常规 6 4" xfId="130"/>
    <cellStyle name="_零售" xfId="131"/>
    <cellStyle name="常规 16 2" xfId="132"/>
    <cellStyle name="_兴业银行各分行联系电话201202" xfId="133"/>
    <cellStyle name="常规 10" xfId="134"/>
    <cellStyle name="常规 6 3 2 2 3 3 2" xfId="135"/>
    <cellStyle name="_ET_STYLE_NoName_00_ 2 2" xfId="136"/>
    <cellStyle name="常规 6 6 2 2 3" xfId="137"/>
    <cellStyle name="常规 6 3 2" xfId="138"/>
    <cellStyle name="千位分隔 3 2 2 2" xfId="139"/>
    <cellStyle name="常规 7 3 3 2 2 2" xfId="140"/>
    <cellStyle name="常规 6 3 2 2 2 4" xfId="141"/>
    <cellStyle name="_一级分行2009年度内部控制与合规经营指标明细表" xfId="142"/>
    <cellStyle name="常规 10 2 2 2" xfId="143"/>
    <cellStyle name="常规 6 2 4 3 2 2" xfId="144"/>
    <cellStyle name="常规 9 2 3 3" xfId="145"/>
    <cellStyle name="常规 6 8 3" xfId="146"/>
    <cellStyle name="20% - 强调文字颜色 2 2" xfId="147"/>
    <cellStyle name="输出 2 2" xfId="148"/>
    <cellStyle name="好_分行科技总助以上联系表" xfId="149"/>
    <cellStyle name="常规 6 2 3 4 2" xfId="150"/>
    <cellStyle name="常规 9 2 4 3" xfId="151"/>
    <cellStyle name="常规 6 9 3" xfId="152"/>
    <cellStyle name="20% - 强调文字颜色 3 2" xfId="153"/>
    <cellStyle name="常规 6 2 3 5 2" xfId="154"/>
    <cellStyle name="常规 9 2 5 3" xfId="155"/>
    <cellStyle name="常规 7 4 4 2 2" xfId="156"/>
    <cellStyle name="20% - 强调文字颜色 4 2" xfId="157"/>
    <cellStyle name="常规 3" xfId="158"/>
    <cellStyle name="常规 6 10" xfId="159"/>
    <cellStyle name="常规 6 2 3 6 2" xfId="160"/>
    <cellStyle name="千位分隔 2 8" xfId="161"/>
    <cellStyle name="20% - 强调文字颜色 5 2" xfId="162"/>
    <cellStyle name="20% - 强调文字颜色 6 2" xfId="163"/>
    <cellStyle name="3232" xfId="164"/>
    <cellStyle name="常规 10 2 2 2 3" xfId="165"/>
    <cellStyle name="40% - 强调文字颜色 1 2" xfId="166"/>
    <cellStyle name="常规 9 2 2 2 3" xfId="167"/>
    <cellStyle name="常规 6 7 2 3" xfId="168"/>
    <cellStyle name="常规 10 5" xfId="169"/>
    <cellStyle name="常规 9 2 2 3 3" xfId="170"/>
    <cellStyle name="差_2013年分行7月信息科技工作评比计分表（新版）0805" xfId="171"/>
    <cellStyle name="40% - 强调文字颜色 2 2" xfId="172"/>
    <cellStyle name="常规 6 2 2 3 2 2 2" xfId="173"/>
    <cellStyle name="常规 6 2 3 3 2 3" xfId="174"/>
    <cellStyle name="40% - 强调文字颜色 3 2" xfId="175"/>
    <cellStyle name="常规 6 2 2 2 2 2 2 2" xfId="176"/>
    <cellStyle name="40% - 强调文字颜色 5 2" xfId="177"/>
    <cellStyle name="40% - 强调文字颜色 6 2" xfId="178"/>
    <cellStyle name="60% - 强调文字颜色 1 2" xfId="179"/>
    <cellStyle name="常规 6 2 3 5 4" xfId="180"/>
    <cellStyle name="60% - 强调文字颜色 2 2" xfId="181"/>
    <cellStyle name="常规 5" xfId="182"/>
    <cellStyle name="60% - 强调文字颜色 3 2" xfId="183"/>
    <cellStyle name="60% - 强调文字颜色 4 2" xfId="184"/>
    <cellStyle name="常规 6 3 2 2 2" xfId="185"/>
    <cellStyle name="60% - 强调文字颜色 5 2" xfId="186"/>
    <cellStyle name="常规 6 3 2 3 2" xfId="187"/>
    <cellStyle name="常规 7 2 2 2 2 2" xfId="188"/>
    <cellStyle name="60% - 强调文字颜色 6 2" xfId="189"/>
    <cellStyle name="常规 6 3 2 4 2" xfId="190"/>
    <cellStyle name="千位分隔 2 2 3 2" xfId="191"/>
    <cellStyle name="常规 7 3 5 4" xfId="192"/>
    <cellStyle name="常规 7 3 2 2 3 2" xfId="193"/>
    <cellStyle name="Normal 2" xfId="194"/>
    <cellStyle name="千位分隔 2 5 2" xfId="195"/>
    <cellStyle name="常规 6 5 2 3 3" xfId="196"/>
    <cellStyle name="百分比 2" xfId="197"/>
    <cellStyle name="常规 10 2 2 3 2" xfId="198"/>
    <cellStyle name="百分比 3" xfId="199"/>
    <cellStyle name="标题 1 2" xfId="200"/>
    <cellStyle name="常规 6 2 2 5 3" xfId="201"/>
    <cellStyle name="标题 2 2" xfId="202"/>
    <cellStyle name="常规 7 2 3" xfId="203"/>
    <cellStyle name="标题 3 2" xfId="204"/>
    <cellStyle name="常规 7 3 3" xfId="205"/>
    <cellStyle name="千位分隔 3" xfId="206"/>
    <cellStyle name="标题 4 2" xfId="207"/>
    <cellStyle name="常规 9 4 4 2 2" xfId="208"/>
    <cellStyle name="千位分隔 3 3 2 3" xfId="209"/>
    <cellStyle name="常规 6 3 3 3 2 2 2" xfId="210"/>
    <cellStyle name="常规 9 2 2 3 2 2" xfId="211"/>
    <cellStyle name="标题 5" xfId="212"/>
    <cellStyle name="常规 9 4 4 3" xfId="213"/>
    <cellStyle name="常规 6 2 3 3 2 2 2" xfId="214"/>
    <cellStyle name="常规 6 3 3 3 2 3" xfId="215"/>
    <cellStyle name="差 2" xfId="216"/>
    <cellStyle name="常规 6 2 2 2 4 2 2" xfId="217"/>
    <cellStyle name="常规 9 2 2 3 3 2" xfId="218"/>
    <cellStyle name="差_2013年分行7月信息科技工作评比计分表（新版）0805 2" xfId="219"/>
    <cellStyle name="常规 6 5 5 3" xfId="220"/>
    <cellStyle name="常规 6 4 3 2 2 2" xfId="221"/>
    <cellStyle name="差_Sheet1" xfId="222"/>
    <cellStyle name="常规 6 4 4 3 2" xfId="223"/>
    <cellStyle name="差_Sheet1 2" xfId="224"/>
    <cellStyle name="常规 2 2 2 12" xfId="225"/>
    <cellStyle name="差_分行分管科技行领导" xfId="226"/>
    <cellStyle name="常规 6 2 3 2 4" xfId="227"/>
    <cellStyle name="差_分行科技总助以上联系表" xfId="228"/>
    <cellStyle name="常规 6 2 2 6 2" xfId="229"/>
    <cellStyle name="输出 2 4" xfId="230"/>
    <cellStyle name="差_分行网点、人员数量统计" xfId="231"/>
    <cellStyle name="常规 6 2 3 4 4" xfId="232"/>
    <cellStyle name="常规 10 2" xfId="233"/>
    <cellStyle name="常规 6 2 4 3" xfId="234"/>
    <cellStyle name="常规 10 2 2" xfId="235"/>
    <cellStyle name="常规 6 2 4 3 2" xfId="236"/>
    <cellStyle name="常规 10 2 2 2 2" xfId="237"/>
    <cellStyle name="常规 9 6" xfId="238"/>
    <cellStyle name="常规 10 2 2 2 2 2" xfId="239"/>
    <cellStyle name="强调文字颜色 2 2" xfId="240"/>
    <cellStyle name="常规 10 2 2 4" xfId="241"/>
    <cellStyle name="常规 9 3 2 3 4" xfId="242"/>
    <cellStyle name="常规 6 5 2 4 2 2" xfId="243"/>
    <cellStyle name="常规 7 5 2 2 2" xfId="244"/>
    <cellStyle name="常规 10 2 3" xfId="245"/>
    <cellStyle name="常规 6 2 4 3 3" xfId="246"/>
    <cellStyle name="常规 10 2 3 2" xfId="247"/>
    <cellStyle name="常规 6 2 4 3 3 2" xfId="248"/>
    <cellStyle name="常规 10 2 3 2 2" xfId="249"/>
    <cellStyle name="常规 10 2 3 3" xfId="250"/>
    <cellStyle name="常规 10 2 3 3 2" xfId="251"/>
    <cellStyle name="强调文字颜色 3 2" xfId="252"/>
    <cellStyle name="常规 10 2 3 4" xfId="253"/>
    <cellStyle name="常规 10 2 4" xfId="254"/>
    <cellStyle name="常规 6 2 4 3 4" xfId="255"/>
    <cellStyle name="常规 10 2 4 2" xfId="256"/>
    <cellStyle name="常规 2 3" xfId="257"/>
    <cellStyle name="常规 10 2 4 2 2" xfId="258"/>
    <cellStyle name="常规 2 3 2" xfId="259"/>
    <cellStyle name="常规 10 2 4 3" xfId="260"/>
    <cellStyle name="常规 2 4" xfId="261"/>
    <cellStyle name="常规 10 2 5" xfId="262"/>
    <cellStyle name="常规 10 3" xfId="263"/>
    <cellStyle name="常规 6 2 4 4" xfId="264"/>
    <cellStyle name="常规 10 3 2" xfId="265"/>
    <cellStyle name="常规 6 2 4 4 2" xfId="266"/>
    <cellStyle name="千位分隔 2 5 3" xfId="267"/>
    <cellStyle name="常规 10 3 2 2" xfId="268"/>
    <cellStyle name="常规 6 2 4 4 2 2" xfId="269"/>
    <cellStyle name="常规 6 5 2 3 4" xfId="270"/>
    <cellStyle name="常规 10 3 2 2 2" xfId="271"/>
    <cellStyle name="常规 10 3 2 3" xfId="272"/>
    <cellStyle name="常规 10 3 3" xfId="273"/>
    <cellStyle name="常规 6 2 4 4 3" xfId="274"/>
    <cellStyle name="常规 10 3 4" xfId="275"/>
    <cellStyle name="常规 9 2 2 2 2" xfId="276"/>
    <cellStyle name="常规 6 7 2 2" xfId="277"/>
    <cellStyle name="常规 10 4" xfId="278"/>
    <cellStyle name="常规 6 2 4 5" xfId="279"/>
    <cellStyle name="常规 9 2 2 2 2 2" xfId="280"/>
    <cellStyle name="常规 6 7 2 2 2" xfId="281"/>
    <cellStyle name="常规 10 4 2" xfId="282"/>
    <cellStyle name="常规 9 3 4 3" xfId="283"/>
    <cellStyle name="常规 6 3 3 2 2 3" xfId="284"/>
    <cellStyle name="千位分隔 3 5 3" xfId="285"/>
    <cellStyle name="常规 9 2 2 2 2 2 2" xfId="286"/>
    <cellStyle name="常规 10 4 2 2" xfId="287"/>
    <cellStyle name="常规 9 4" xfId="288"/>
    <cellStyle name="常规 9 3 4 3 2" xfId="289"/>
    <cellStyle name="常规 6 3 3 2 2 3 2" xfId="290"/>
    <cellStyle name="常规 9 2 2 2 2 3" xfId="291"/>
    <cellStyle name="常规 10 4 3" xfId="292"/>
    <cellStyle name="常规 9 3 4 4" xfId="293"/>
    <cellStyle name="常规 6 3 3 2 2 4" xfId="294"/>
    <cellStyle name="常规 10 4 3 2" xfId="295"/>
    <cellStyle name="常规 10 4 4" xfId="296"/>
    <cellStyle name="常规 9 2 2 2 3 2" xfId="297"/>
    <cellStyle name="常规 10 5 2" xfId="298"/>
    <cellStyle name="常规 9 3 5 3" xfId="299"/>
    <cellStyle name="常规 6 3 3 2 3 3" xfId="300"/>
    <cellStyle name="常规 10 5 2 2" xfId="301"/>
    <cellStyle name="常规 9 3 5 3 2" xfId="302"/>
    <cellStyle name="常规 6 3 3 2 3 3 2" xfId="303"/>
    <cellStyle name="常规 10 5 3" xfId="304"/>
    <cellStyle name="常规 9 3 5 4" xfId="305"/>
    <cellStyle name="常规 6 3 3 2 3 4" xfId="306"/>
    <cellStyle name="常规 10 5 3 2" xfId="307"/>
    <cellStyle name="常规 10 5 4" xfId="308"/>
    <cellStyle name="常规 9 2 2 2 4" xfId="309"/>
    <cellStyle name="常规 6 5 3 3 2" xfId="310"/>
    <cellStyle name="常规 10 6" xfId="311"/>
    <cellStyle name="常规 10 6 2" xfId="312"/>
    <cellStyle name="常规 9 2 2" xfId="313"/>
    <cellStyle name="常规 6 7" xfId="314"/>
    <cellStyle name="常规 6 3 3 2 4 3" xfId="315"/>
    <cellStyle name="千位分隔 3 5 2" xfId="316"/>
    <cellStyle name="常规 10 7" xfId="317"/>
    <cellStyle name="常规 11" xfId="318"/>
    <cellStyle name="常规 11 2" xfId="319"/>
    <cellStyle name="常规 6 2 5 3" xfId="320"/>
    <cellStyle name="常规 11 2 2" xfId="321"/>
    <cellStyle name="常规 6 2 5 3 2" xfId="322"/>
    <cellStyle name="常规 11 3" xfId="323"/>
    <cellStyle name="常规 6 2 5 4" xfId="324"/>
    <cellStyle name="常规 12" xfId="325"/>
    <cellStyle name="常规 12 2" xfId="326"/>
    <cellStyle name="常规 6 2 6 3" xfId="327"/>
    <cellStyle name="常规 13" xfId="328"/>
    <cellStyle name="常规 13 2" xfId="329"/>
    <cellStyle name="常规 6 2 7 3" xfId="330"/>
    <cellStyle name="常规 6 3 4 2 3" xfId="331"/>
    <cellStyle name="常规 7 6 2 2" xfId="332"/>
    <cellStyle name="常规 14" xfId="333"/>
    <cellStyle name="常规 14 2" xfId="334"/>
    <cellStyle name="常规 6 3 4 3 3" xfId="335"/>
    <cellStyle name="常规 6 4 2 2 2 3" xfId="336"/>
    <cellStyle name="常规 15" xfId="337"/>
    <cellStyle name="常规 20" xfId="338"/>
    <cellStyle name="常规 6 3 2 2 3 2" xfId="339"/>
    <cellStyle name="常规 6 3 2 2 3 2 2" xfId="340"/>
    <cellStyle name="常规 15 2" xfId="341"/>
    <cellStyle name="常规 20 2" xfId="342"/>
    <cellStyle name="常规 6 3 4 4 3" xfId="343"/>
    <cellStyle name="常规 6 6 2 3 2" xfId="344"/>
    <cellStyle name="常规 16" xfId="345"/>
    <cellStyle name="常规 21" xfId="346"/>
    <cellStyle name="常规 7 3 5 2 2" xfId="347"/>
    <cellStyle name="常规 6 3 2 2 3 3" xfId="348"/>
    <cellStyle name="常规 18" xfId="349"/>
    <cellStyle name="常规 23" xfId="350"/>
    <cellStyle name="常规 6 4 3" xfId="351"/>
    <cellStyle name="常规 2" xfId="352"/>
    <cellStyle name="常规 2 2" xfId="353"/>
    <cellStyle name="常规 9 2 2 2" xfId="354"/>
    <cellStyle name="常规 6 7 2" xfId="355"/>
    <cellStyle name="常规 2 2 2 14" xfId="356"/>
    <cellStyle name="常规 9 2 2 4" xfId="357"/>
    <cellStyle name="常规 6 7 4" xfId="358"/>
    <cellStyle name="常规 2 2 2 16" xfId="359"/>
    <cellStyle name="常规 6 2 3 3 3" xfId="360"/>
    <cellStyle name="常规 7 2 2 5" xfId="361"/>
    <cellStyle name="常规 2 4 2" xfId="362"/>
    <cellStyle name="常规 6 3 5 4" xfId="363"/>
    <cellStyle name="常规 6 3 9" xfId="364"/>
    <cellStyle name="常规 2 4 2 2" xfId="365"/>
    <cellStyle name="常规 6 4 2 3 3" xfId="366"/>
    <cellStyle name="常规 2_2011年二级分行财务客户维度指标" xfId="367"/>
    <cellStyle name="常规 6 3 3 2 2 2 2 2" xfId="368"/>
    <cellStyle name="常规 24" xfId="369"/>
    <cellStyle name="常规 6 4 4" xfId="370"/>
    <cellStyle name="常规 28" xfId="371"/>
    <cellStyle name="常规 33" xfId="372"/>
    <cellStyle name="常规 7 2 3 2 2 2" xfId="373"/>
    <cellStyle name="常规 6 2 2 2 2 4" xfId="374"/>
    <cellStyle name="常规 6 3 6 3" xfId="375"/>
    <cellStyle name="常规 6 4 2 4 2" xfId="376"/>
    <cellStyle name="常规 29" xfId="377"/>
    <cellStyle name="常规 34" xfId="378"/>
    <cellStyle name="常规 6 3 6 4" xfId="379"/>
    <cellStyle name="常规 6 4 2 4 3" xfId="380"/>
    <cellStyle name="常规 30" xfId="381"/>
    <cellStyle name="常规 6 4 5" xfId="382"/>
    <cellStyle name="常规 32" xfId="383"/>
    <cellStyle name="常规 6 3 6 2" xfId="384"/>
    <cellStyle name="常规 6 2 2 2 2 3" xfId="385"/>
    <cellStyle name="常规 6 4 7" xfId="386"/>
    <cellStyle name="常规 4" xfId="387"/>
    <cellStyle name="常规 6 11" xfId="388"/>
    <cellStyle name="常规 9 3 2 2 2 3" xfId="389"/>
    <cellStyle name="常规 6 10 2" xfId="390"/>
    <cellStyle name="注释 2" xfId="391"/>
    <cellStyle name="常规 7 4 2 3" xfId="392"/>
    <cellStyle name="常规 6 2" xfId="393"/>
    <cellStyle name="注释 2 2" xfId="394"/>
    <cellStyle name="常规 7 4 2 3 2" xfId="395"/>
    <cellStyle name="常规 6 2 2" xfId="396"/>
    <cellStyle name="注释 2 2 2" xfId="397"/>
    <cellStyle name="常规 6 2 2 2" xfId="398"/>
    <cellStyle name="常规 6 2 2 2 2" xfId="399"/>
    <cellStyle name="常规 6 2 2 2 2 3 2" xfId="400"/>
    <cellStyle name="常规 6 3 6 2 2" xfId="401"/>
    <cellStyle name="常规 6 2 2 2 3" xfId="402"/>
    <cellStyle name="常规 6 5 6" xfId="403"/>
    <cellStyle name="常规 6 2 2 2 3 2" xfId="404"/>
    <cellStyle name="常规 6 5 6 2" xfId="405"/>
    <cellStyle name="常规 6 2 2 2 3 2 2" xfId="406"/>
    <cellStyle name="常规 6 5 7" xfId="407"/>
    <cellStyle name="常规 6 2 2 2 3 3" xfId="408"/>
    <cellStyle name="常规 6 3 5 2 2" xfId="409"/>
    <cellStyle name="常规 6 3 7 2" xfId="410"/>
    <cellStyle name="常规 6 2 2 2 3 3 2" xfId="411"/>
    <cellStyle name="常规 6 3 5 2 2 2" xfId="412"/>
    <cellStyle name="常规 6 3 7 2 2" xfId="413"/>
    <cellStyle name="常规 6 2 2 2 3 4" xfId="414"/>
    <cellStyle name="常规 6 3 5 2 3" xfId="415"/>
    <cellStyle name="常规 6 3 7 3" xfId="416"/>
    <cellStyle name="常规 6 2 2 2 4" xfId="417"/>
    <cellStyle name="常规 6 2 2 2 4 3" xfId="418"/>
    <cellStyle name="常规 6 3 5 3 2" xfId="419"/>
    <cellStyle name="常规 6 3 8 2" xfId="420"/>
    <cellStyle name="常规 6 4 2 3 2 2" xfId="421"/>
    <cellStyle name="常规 6 2 2 3" xfId="422"/>
    <cellStyle name="常规 6 3 4 2 2 2 2" xfId="423"/>
    <cellStyle name="常规 6 2 2 3 2" xfId="424"/>
    <cellStyle name="常规 6 2 2 3 3" xfId="425"/>
    <cellStyle name="常规 6 2 2 3 3 2" xfId="426"/>
    <cellStyle name="常规 6 2 2 3 4" xfId="427"/>
    <cellStyle name="常规 6 2 2 4" xfId="428"/>
    <cellStyle name="常规 6 2 2 4 2" xfId="429"/>
    <cellStyle name="常规 6 2 2 4 2 2" xfId="430"/>
    <cellStyle name="常规 6 3 2 3 4" xfId="431"/>
    <cellStyle name="常规 6 2 2 4 3" xfId="432"/>
    <cellStyle name="常规 6 2 2 4 3 2" xfId="433"/>
    <cellStyle name="常规 6 3 2 4 4" xfId="434"/>
    <cellStyle name="常规 6 2 2 4 4" xfId="435"/>
    <cellStyle name="常规 6 2 2 5" xfId="436"/>
    <cellStyle name="常规 6 2 2 5 2" xfId="437"/>
    <cellStyle name="常规 6 2 2 5 2 2" xfId="438"/>
    <cellStyle name="常规 6 3 3 3 4" xfId="439"/>
    <cellStyle name="常规 6 3 2 2 2 2 3" xfId="440"/>
    <cellStyle name="常规 6 2 2 5 3 2" xfId="441"/>
    <cellStyle name="常规 6 3 3 4 4" xfId="442"/>
    <cellStyle name="常规 6 2 2 5 4" xfId="443"/>
    <cellStyle name="常规 6 2 2 6" xfId="444"/>
    <cellStyle name="常规 6 2 2 7" xfId="445"/>
    <cellStyle name="常规 6 2 3 2" xfId="446"/>
    <cellStyle name="常规 6 2 3 2 2" xfId="447"/>
    <cellStyle name="常规 6 2 3 2 2 2" xfId="448"/>
    <cellStyle name="常规 6 2 3 2 2 2 2" xfId="449"/>
    <cellStyle name="常规 6 3 2 3 2 3" xfId="450"/>
    <cellStyle name="常规 6 2 3 2 2 2 2 2" xfId="451"/>
    <cellStyle name="千位分隔 3 3 2 2" xfId="452"/>
    <cellStyle name="常规 6 2 3 2 2 2 3" xfId="453"/>
    <cellStyle name="强调文字颜色 1 2" xfId="454"/>
    <cellStyle name="常规 6 2 3 2 2 3 2" xfId="455"/>
    <cellStyle name="常规 6 2 3 2 3" xfId="456"/>
    <cellStyle name="常规 6 2 3 2 3 2" xfId="457"/>
    <cellStyle name="常规 6 2 3 2 3 2 2" xfId="458"/>
    <cellStyle name="常规 6 2 3 2 3 3" xfId="459"/>
    <cellStyle name="常规 6 4 5 2 2" xfId="460"/>
    <cellStyle name="常规 6 2 3 2 3 3 2" xfId="461"/>
    <cellStyle name="常规 6 2 3 2 3 4" xfId="462"/>
    <cellStyle name="常规 6 2 3 2 4 2" xfId="463"/>
    <cellStyle name="常规 9 3 7" xfId="464"/>
    <cellStyle name="常规 6 3 3 2 5" xfId="465"/>
    <cellStyle name="常规 6 2 3 2 4 2 2" xfId="466"/>
    <cellStyle name="常规 6 2 3 2 4 3" xfId="467"/>
    <cellStyle name="常规 6 4 5 3 2" xfId="468"/>
    <cellStyle name="常规 6 2 3 3 2 2" xfId="469"/>
    <cellStyle name="常规 6 2 3 3 3 2" xfId="470"/>
    <cellStyle name="常规 6 2 3 3 4" xfId="471"/>
    <cellStyle name="常规 6 2 3 4 2 2" xfId="472"/>
    <cellStyle name="输出 2 2 2" xfId="473"/>
    <cellStyle name="常规 6 4 2 3 4" xfId="474"/>
    <cellStyle name="输出 2 3" xfId="475"/>
    <cellStyle name="常规 6 2 3 4 3" xfId="476"/>
    <cellStyle name="常规 6 2 3 4 3 2" xfId="477"/>
    <cellStyle name="常规 6 2 3 5 2 2" xfId="478"/>
    <cellStyle name="注释 2 4" xfId="479"/>
    <cellStyle name="常规 6 2 4" xfId="480"/>
    <cellStyle name="常规 6 3 3 4 2 2" xfId="481"/>
    <cellStyle name="常规 6 2 4 2" xfId="482"/>
    <cellStyle name="常规 6 2 4 2 2" xfId="483"/>
    <cellStyle name="常规 6 2 4 2 2 2" xfId="484"/>
    <cellStyle name="常规 6 2 4 2 2 2 2" xfId="485"/>
    <cellStyle name="常规 6 2 4 2 2 3" xfId="486"/>
    <cellStyle name="常规 6 3 2 2 4 2" xfId="487"/>
    <cellStyle name="常规 6 2 4 2 3" xfId="488"/>
    <cellStyle name="常规 6 2 4 2 3 2" xfId="489"/>
    <cellStyle name="好_分行网点、人员数量统计" xfId="490"/>
    <cellStyle name="常规 6 2 4 2 4" xfId="491"/>
    <cellStyle name="注释 2 5" xfId="492"/>
    <cellStyle name="常规 6 2 5" xfId="493"/>
    <cellStyle name="常规 6 2 5 2" xfId="494"/>
    <cellStyle name="常规 6 2 5 2 2" xfId="495"/>
    <cellStyle name="常规 7 2 2 2 3 2" xfId="496"/>
    <cellStyle name="常规 6 2 5 2 3" xfId="497"/>
    <cellStyle name="常规 6 3 2 5 2" xfId="498"/>
    <cellStyle name="常规 6 2 6" xfId="499"/>
    <cellStyle name="常规 6 2 6 2" xfId="500"/>
    <cellStyle name="常规 6 2 6 2 2" xfId="501"/>
    <cellStyle name="常规 6 2 6 4" xfId="502"/>
    <cellStyle name="常规 6 2 7" xfId="503"/>
    <cellStyle name="常规 6 3 4 2" xfId="504"/>
    <cellStyle name="常规 6 2 7 2" xfId="505"/>
    <cellStyle name="常规 6 3 4 2 2" xfId="506"/>
    <cellStyle name="常规 6 2 7 2 2" xfId="507"/>
    <cellStyle name="常规 6 3 4 2 2 2" xfId="508"/>
    <cellStyle name="常规 6 2 7 3 2" xfId="509"/>
    <cellStyle name="常规 6 3 4 2 3 2" xfId="510"/>
    <cellStyle name="常规 6 3 4 2 4" xfId="511"/>
    <cellStyle name="常规 6 2 7 4" xfId="512"/>
    <cellStyle name="常规 6 4 2 2 2" xfId="513"/>
    <cellStyle name="常规 6 3 4 3" xfId="514"/>
    <cellStyle name="常规 6 2 8" xfId="515"/>
    <cellStyle name="常规 6 4 2 2 2 2" xfId="516"/>
    <cellStyle name="常规 6 3 4 3 2" xfId="517"/>
    <cellStyle name="常规 6 2 8 2" xfId="518"/>
    <cellStyle name="常规 6 4 2 2 3" xfId="519"/>
    <cellStyle name="常规 7 2 2 4 2" xfId="520"/>
    <cellStyle name="常规 6 3 4 4" xfId="521"/>
    <cellStyle name="常规 6 2 9" xfId="522"/>
    <cellStyle name="常规 6 3 2 2 2 2" xfId="523"/>
    <cellStyle name="常规 6 3 4" xfId="524"/>
    <cellStyle name="常规 6 3 3 4 3 2" xfId="525"/>
    <cellStyle name="常规 6 3 2 2 2 2 2 2" xfId="526"/>
    <cellStyle name="常规 6 3 3 5 3" xfId="527"/>
    <cellStyle name="常规 6 6 2 2 2 2" xfId="528"/>
    <cellStyle name="常规 6 3 2 2 2 3 2" xfId="529"/>
    <cellStyle name="汇总 2" xfId="530"/>
    <cellStyle name="常规 6 3 2 2 3" xfId="531"/>
    <cellStyle name="常规 6 4 2" xfId="532"/>
    <cellStyle name="常规 6 3 2 2 3 4" xfId="533"/>
    <cellStyle name="常规 6 3 2 2 4" xfId="534"/>
    <cellStyle name="常规 6 3 2 2 4 2 2" xfId="535"/>
    <cellStyle name="常规 6 5 2 3 2 2" xfId="536"/>
    <cellStyle name="常规 6 3 2 2 4 3" xfId="537"/>
    <cellStyle name="常规 7 3 5 3 2" xfId="538"/>
    <cellStyle name="常规 6 3 2 2 5" xfId="539"/>
    <cellStyle name="常规 6 5 5 2" xfId="540"/>
    <cellStyle name="常规 6 3 2 3 2 2" xfId="541"/>
    <cellStyle name="常规 6 3 2 3 3" xfId="542"/>
    <cellStyle name="常规 6 3 2 3 3 2" xfId="543"/>
    <cellStyle name="常规 6 3 2 4 2 2" xfId="544"/>
    <cellStyle name="常规 7 3 2 3 4" xfId="545"/>
    <cellStyle name="千位分隔 2 3 4" xfId="546"/>
    <cellStyle name="常规 6 3 2 4 3" xfId="547"/>
    <cellStyle name="常规 6 3 2 5" xfId="548"/>
    <cellStyle name="常规 6 3 2 5 2 2" xfId="549"/>
    <cellStyle name="千位分隔 3 3 4" xfId="550"/>
    <cellStyle name="常规 6 3 2 5 3" xfId="551"/>
    <cellStyle name="常规 6 3 3 2 2 2 3" xfId="552"/>
    <cellStyle name="常规 6 3 2 5 3 2" xfId="553"/>
    <cellStyle name="常规 6 3 2 5 4" xfId="554"/>
    <cellStyle name="常规 6 3 2 6" xfId="555"/>
    <cellStyle name="常规 6 3 2 6 2" xfId="556"/>
    <cellStyle name="常规 9 4 2 4" xfId="557"/>
    <cellStyle name="常规 6 3 2 7" xfId="558"/>
    <cellStyle name="常规 6 3 3" xfId="559"/>
    <cellStyle name="常规 6 3 3 2" xfId="560"/>
    <cellStyle name="常规 6 3 3 2 2" xfId="561"/>
    <cellStyle name="常规 7 9" xfId="562"/>
    <cellStyle name="常规 9 3 4" xfId="563"/>
    <cellStyle name="常规 6 3 3 2 2 2" xfId="564"/>
    <cellStyle name="常规 9 3 4 2" xfId="565"/>
    <cellStyle name="常规 9 3 4 2 2" xfId="566"/>
    <cellStyle name="常规 6 3 3 2 2 2 2" xfId="567"/>
    <cellStyle name="千位分隔 2 3 2 3" xfId="568"/>
    <cellStyle name="常规 6 3 3 2 3" xfId="569"/>
    <cellStyle name="常规 9 3 5" xfId="570"/>
    <cellStyle name="常规 6 3 3 2 3 2" xfId="571"/>
    <cellStyle name="常规 9 3 5 2" xfId="572"/>
    <cellStyle name="常规 9 3 5 2 2" xfId="573"/>
    <cellStyle name="常规 6 3 3 2 3 2 2" xfId="574"/>
    <cellStyle name="千位分隔 2 4 2 3" xfId="575"/>
    <cellStyle name="常规 6 3 3 2 4" xfId="576"/>
    <cellStyle name="常规 9 3 6" xfId="577"/>
    <cellStyle name="常规 6 3 3 2 4 2" xfId="578"/>
    <cellStyle name="常规 6 6" xfId="579"/>
    <cellStyle name="常规 9 3 6 2" xfId="580"/>
    <cellStyle name="常规 6 3 3 2 4 2 2" xfId="581"/>
    <cellStyle name="常规 6 6 2" xfId="582"/>
    <cellStyle name="常规 6 3 3 3 2" xfId="583"/>
    <cellStyle name="常规 9 4 4" xfId="584"/>
    <cellStyle name="常规 6 3 3 3 3" xfId="585"/>
    <cellStyle name="常规 9 4 5" xfId="586"/>
    <cellStyle name="常规 6 3 3 3 3 2" xfId="587"/>
    <cellStyle name="常规 6 3 3 4" xfId="588"/>
    <cellStyle name="常规 6 3 3 5" xfId="589"/>
    <cellStyle name="常规 6 3 3 5 2" xfId="590"/>
    <cellStyle name="常规 9 6 4" xfId="591"/>
    <cellStyle name="常规 6 3 3 5 2 2" xfId="592"/>
    <cellStyle name="常规 7 2 4" xfId="593"/>
    <cellStyle name="常规 7 3 4" xfId="594"/>
    <cellStyle name="常规 6 3 3 5 3 2" xfId="595"/>
    <cellStyle name="千位分隔 4" xfId="596"/>
    <cellStyle name="常规 6 3 3 5 4" xfId="597"/>
    <cellStyle name="常规 6 3 3 6" xfId="598"/>
    <cellStyle name="常规 6 3 3 7" xfId="599"/>
    <cellStyle name="常规 6 5 4 2 2" xfId="600"/>
    <cellStyle name="常规 6 3 4 2 2 3" xfId="601"/>
    <cellStyle name="常规 6 4 2 2 2 2 2" xfId="602"/>
    <cellStyle name="常规 6 3 4 3 2 2" xfId="603"/>
    <cellStyle name="输出 2 5" xfId="604"/>
    <cellStyle name="常规 6 3 4 3 3 2" xfId="605"/>
    <cellStyle name="常规 6 3 4 3 4" xfId="606"/>
    <cellStyle name="常规 6 4 2 2 3 2" xfId="607"/>
    <cellStyle name="常规 7 2 2 4 2 2" xfId="608"/>
    <cellStyle name="常规 6 3 4 4 2" xfId="609"/>
    <cellStyle name="常规 6 3 4 4 2 2" xfId="610"/>
    <cellStyle name="常规 6 4 2 2 4" xfId="611"/>
    <cellStyle name="常规 7 2 2 4 3" xfId="612"/>
    <cellStyle name="常规 6 3 4 5" xfId="613"/>
    <cellStyle name="常规 6 8 2 2" xfId="614"/>
    <cellStyle name="常规 9 2 3 2 2" xfId="615"/>
    <cellStyle name="常规 6 3 5" xfId="616"/>
    <cellStyle name="常规 6 3 7" xfId="617"/>
    <cellStyle name="常规 6 3 5 2" xfId="618"/>
    <cellStyle name="常规 6 4 2 3 2" xfId="619"/>
    <cellStyle name="常规 6 3 8" xfId="620"/>
    <cellStyle name="常规 6 3 5 3" xfId="621"/>
    <cellStyle name="常规 6 3 6" xfId="622"/>
    <cellStyle name="常规 6 4 2 4 2 2" xfId="623"/>
    <cellStyle name="常规 6 3 6 3 2" xfId="624"/>
    <cellStyle name="常规 6 3 7 3 2" xfId="625"/>
    <cellStyle name="常规 6 3 7 4" xfId="626"/>
    <cellStyle name="常规 6 4 2 2" xfId="627"/>
    <cellStyle name="常规 6 4 2 3" xfId="628"/>
    <cellStyle name="常规 6 4 2 3 3 2" xfId="629"/>
    <cellStyle name="常规 6 4 2 4" xfId="630"/>
    <cellStyle name="常规 6 4 2 5" xfId="631"/>
    <cellStyle name="常规 6 4 3 2" xfId="632"/>
    <cellStyle name="常规 6 4 4 3" xfId="633"/>
    <cellStyle name="常规 6 4 3 2 2" xfId="634"/>
    <cellStyle name="常规 6 4 4 4" xfId="635"/>
    <cellStyle name="常规 6 4 3 2 3" xfId="636"/>
    <cellStyle name="常规 6 4 3 3" xfId="637"/>
    <cellStyle name="常规 6 4 5 3" xfId="638"/>
    <cellStyle name="常规 6 4 3 3 2" xfId="639"/>
    <cellStyle name="汇总 2 6" xfId="640"/>
    <cellStyle name="常规 6 4 3 4" xfId="641"/>
    <cellStyle name="常规 6 4 4 2" xfId="642"/>
    <cellStyle name="常规 7 2 7" xfId="643"/>
    <cellStyle name="常规 6 4 4 2 2" xfId="644"/>
    <cellStyle name="常规 6 4 5 2" xfId="645"/>
    <cellStyle name="常规 7 3 7" xfId="646"/>
    <cellStyle name="常规 6 4 5 4" xfId="647"/>
    <cellStyle name="常规 6 5 2" xfId="648"/>
    <cellStyle name="警告文本 2" xfId="649"/>
    <cellStyle name="常规 6 5 2 2" xfId="650"/>
    <cellStyle name="常规 6 5 2 2 2" xfId="651"/>
    <cellStyle name="常规 6 5 2 2 2 2" xfId="652"/>
    <cellStyle name="常规 6 5 2 2 2 2 2" xfId="653"/>
    <cellStyle name="常规 6 5 2 2 2 3" xfId="654"/>
    <cellStyle name="常规 6 5 2 2 3" xfId="655"/>
    <cellStyle name="常规 7 3 2 4 2" xfId="656"/>
    <cellStyle name="千位分隔 2 4 2" xfId="657"/>
    <cellStyle name="常规 6 5 2 2 3 2" xfId="658"/>
    <cellStyle name="常规 7 3 2 4 2 2" xfId="659"/>
    <cellStyle name="千位分隔 2 4 2 2" xfId="660"/>
    <cellStyle name="常规 6 5 2 2 4" xfId="661"/>
    <cellStyle name="常规 7 3 2 4 3" xfId="662"/>
    <cellStyle name="千位分隔 2 4 3" xfId="663"/>
    <cellStyle name="常规 6 5 2 3" xfId="664"/>
    <cellStyle name="常规 6 5 2 3 2" xfId="665"/>
    <cellStyle name="常规 6 6 2 4" xfId="666"/>
    <cellStyle name="常规 6 5 2 3 3 2" xfId="667"/>
    <cellStyle name="常规 6 5 2 4" xfId="668"/>
    <cellStyle name="样式 1 2" xfId="669"/>
    <cellStyle name="常规 6 5 2 5" xfId="670"/>
    <cellStyle name="样式 1 3" xfId="671"/>
    <cellStyle name="常规 6 5 3" xfId="672"/>
    <cellStyle name="常规 6 5 3 2" xfId="673"/>
    <cellStyle name="常规 6 5 3 2 2 2" xfId="674"/>
    <cellStyle name="千位分隔 2 2 6" xfId="675"/>
    <cellStyle name="常规 6 5 3 2 3" xfId="676"/>
    <cellStyle name="千位分隔 3 4 2" xfId="677"/>
    <cellStyle name="常规 6 5 3 3" xfId="678"/>
    <cellStyle name="常规 6 5 3 4" xfId="679"/>
    <cellStyle name="常规 6 5 4" xfId="680"/>
    <cellStyle name="常规 6 5 4 2" xfId="681"/>
    <cellStyle name="常规 6 5 4 3" xfId="682"/>
    <cellStyle name="常规 6 5 4 3 2" xfId="683"/>
    <cellStyle name="常规 6 5 4 4" xfId="684"/>
    <cellStyle name="常规 6 5 5" xfId="685"/>
    <cellStyle name="常规 6 5 5 2 2" xfId="686"/>
    <cellStyle name="常规 6 5 5 3 2" xfId="687"/>
    <cellStyle name="常规 6 5 5 4" xfId="688"/>
    <cellStyle name="常规 6 6 2 2" xfId="689"/>
    <cellStyle name="常规 6 6 2 2 2" xfId="690"/>
    <cellStyle name="常规 6 6 2 3" xfId="691"/>
    <cellStyle name="常规 6 6 3" xfId="692"/>
    <cellStyle name="常规 6 6 3 2" xfId="693"/>
    <cellStyle name="常规 6 6 3 2 2" xfId="694"/>
    <cellStyle name="常规 6 6 3 3" xfId="695"/>
    <cellStyle name="常规 6 6 3 3 2" xfId="696"/>
    <cellStyle name="常规 9 3 2 2 4" xfId="697"/>
    <cellStyle name="常规 6 6 4" xfId="698"/>
    <cellStyle name="常规 6 6 4 2" xfId="699"/>
    <cellStyle name="常规 9 2 7" xfId="700"/>
    <cellStyle name="常规 6 6 4 2 2" xfId="701"/>
    <cellStyle name="千位分隔 3 7" xfId="702"/>
    <cellStyle name="常规 6 6 4 3" xfId="703"/>
    <cellStyle name="常规 6 6 5" xfId="704"/>
    <cellStyle name="常规 6 7 3 2" xfId="705"/>
    <cellStyle name="常规 9 2 2 3 2" xfId="706"/>
    <cellStyle name="常规 6 8" xfId="707"/>
    <cellStyle name="常规 9 2 3" xfId="708"/>
    <cellStyle name="常规 6 8 2" xfId="709"/>
    <cellStyle name="常规 9 2 3 2" xfId="710"/>
    <cellStyle name="常规 6 8 3 2" xfId="711"/>
    <cellStyle name="常规 9 2 3 3 2" xfId="712"/>
    <cellStyle name="常规 6 8 4" xfId="713"/>
    <cellStyle name="常规 9 2 3 4" xfId="714"/>
    <cellStyle name="常规 6 9" xfId="715"/>
    <cellStyle name="常规 9 2 4" xfId="716"/>
    <cellStyle name="常规 6 9 2" xfId="717"/>
    <cellStyle name="常规 9 2 4 2" xfId="718"/>
    <cellStyle name="常规 6 9 2 2" xfId="719"/>
    <cellStyle name="常规 9 2 4 2 2" xfId="720"/>
    <cellStyle name="常规 6 9 3 2" xfId="721"/>
    <cellStyle name="常规 9 2 4 3 2" xfId="722"/>
    <cellStyle name="常规 6 9 4" xfId="723"/>
    <cellStyle name="常规 9 2 4 4" xfId="724"/>
    <cellStyle name="常规 7" xfId="725"/>
    <cellStyle name="常规 7 2" xfId="726"/>
    <cellStyle name="常规 7 4 3 3" xfId="727"/>
    <cellStyle name="常规 7 2 2" xfId="728"/>
    <cellStyle name="常规 7 4 3 3 2" xfId="729"/>
    <cellStyle name="常规 7 2 2 2" xfId="730"/>
    <cellStyle name="常规 7 2 2 2 2 2 2" xfId="731"/>
    <cellStyle name="千位分隔 3 6" xfId="732"/>
    <cellStyle name="常规 7 2 2 2 2 3" xfId="733"/>
    <cellStyle name="常规 7 2 2 2 3" xfId="734"/>
    <cellStyle name="常规 7 2 2 2 4" xfId="735"/>
    <cellStyle name="常规 7 5 3 2" xfId="736"/>
    <cellStyle name="常规 7 2 2 3" xfId="737"/>
    <cellStyle name="常规 7 2 2 3 2" xfId="738"/>
    <cellStyle name="常规 7 2 2 3 3" xfId="739"/>
    <cellStyle name="常规 7 2 2 3 3 2" xfId="740"/>
    <cellStyle name="常规 7 2 2 3 4" xfId="741"/>
    <cellStyle name="常规 7 2 2 4" xfId="742"/>
    <cellStyle name="常规 7 2 3 2" xfId="743"/>
    <cellStyle name="常规 7 2 3 2 2" xfId="744"/>
    <cellStyle name="常规 7 2 3 2 3" xfId="745"/>
    <cellStyle name="常规 7 2 3 3" xfId="746"/>
    <cellStyle name="常规 7 2 3 3 2" xfId="747"/>
    <cellStyle name="常规 7 2 3 4" xfId="748"/>
    <cellStyle name="常规 7 2 4 2" xfId="749"/>
    <cellStyle name="常规 7 2 4 2 2" xfId="750"/>
    <cellStyle name="常规 7 2 5 3" xfId="751"/>
    <cellStyle name="常规 7 2 4 3" xfId="752"/>
    <cellStyle name="常规 7 2 4 3 2" xfId="753"/>
    <cellStyle name="常规 7 2 4 4" xfId="754"/>
    <cellStyle name="常规 7 2 5" xfId="755"/>
    <cellStyle name="常规 7 2 5 2" xfId="756"/>
    <cellStyle name="常规 7 2 5 2 2" xfId="757"/>
    <cellStyle name="常规 7 3 5 3" xfId="758"/>
    <cellStyle name="千位分隔 5 3" xfId="759"/>
    <cellStyle name="常规 7 2 5 4" xfId="760"/>
    <cellStyle name="常规 7 2 6" xfId="761"/>
    <cellStyle name="常规 7 2 6 2" xfId="762"/>
    <cellStyle name="常规 9" xfId="763"/>
    <cellStyle name="常规 7 3 2" xfId="764"/>
    <cellStyle name="千位分隔 2" xfId="765"/>
    <cellStyle name="常规 7 3 2 2" xfId="766"/>
    <cellStyle name="千位分隔 2 2" xfId="767"/>
    <cellStyle name="常规 7 3 2 2 2" xfId="768"/>
    <cellStyle name="千位分隔 2 2 2" xfId="769"/>
    <cellStyle name="常规 7 3 2 2 2 2" xfId="770"/>
    <cellStyle name="常规 7 3 4 4" xfId="771"/>
    <cellStyle name="千位分隔 2 2 2 2" xfId="772"/>
    <cellStyle name="常规_~6448290" xfId="773"/>
    <cellStyle name="千位分隔 4 4" xfId="774"/>
    <cellStyle name="常规 7 3 2 2 2 2 2" xfId="775"/>
    <cellStyle name="千位分隔 2 2 2 2 2" xfId="776"/>
    <cellStyle name="常规 7 3 2 2 2 3" xfId="777"/>
    <cellStyle name="常规 9 3 3 2 2" xfId="778"/>
    <cellStyle name="千位分隔 2 2 2 3" xfId="779"/>
    <cellStyle name="常规 7 3 2 2 3" xfId="780"/>
    <cellStyle name="千位分隔 2 2 3" xfId="781"/>
    <cellStyle name="常规 7 3 2 2 4" xfId="782"/>
    <cellStyle name="千位分隔 2 2 4" xfId="783"/>
    <cellStyle name="常规 7 3 2 3" xfId="784"/>
    <cellStyle name="千位分隔 2 3" xfId="785"/>
    <cellStyle name="常规 7 3 2 3 2" xfId="786"/>
    <cellStyle name="千位分隔 2 3 2" xfId="787"/>
    <cellStyle name="常规 7 3 2 3 3" xfId="788"/>
    <cellStyle name="千位分隔 2 3 3" xfId="789"/>
    <cellStyle name="常规 7 3 2 3 3 2" xfId="790"/>
    <cellStyle name="常规 9 3" xfId="791"/>
    <cellStyle name="常规 7 3 2 4" xfId="792"/>
    <cellStyle name="千位分隔 2 4" xfId="793"/>
    <cellStyle name="常规 7 3 2 5" xfId="794"/>
    <cellStyle name="千位分隔 2 5" xfId="795"/>
    <cellStyle name="常规 7 3 3 2" xfId="796"/>
    <cellStyle name="千位分隔 3 2" xfId="797"/>
    <cellStyle name="常规 7 3 3 2 2" xfId="798"/>
    <cellStyle name="千位分隔 3 2 2" xfId="799"/>
    <cellStyle name="常规 7 3 3 2 3" xfId="800"/>
    <cellStyle name="千位分隔 3 2 3" xfId="801"/>
    <cellStyle name="常规 7 3 3 3" xfId="802"/>
    <cellStyle name="千位分隔 3 3" xfId="803"/>
    <cellStyle name="常规 7 3 3 3 2" xfId="804"/>
    <cellStyle name="千位分隔 3 3 2" xfId="805"/>
    <cellStyle name="常规 7 3 3 4" xfId="806"/>
    <cellStyle name="千位分隔 3 4" xfId="807"/>
    <cellStyle name="常规 7 3 4 2" xfId="808"/>
    <cellStyle name="千位分隔 4 2" xfId="809"/>
    <cellStyle name="常规 7 3 4 2 2" xfId="810"/>
    <cellStyle name="千位分隔 4 2 2" xfId="811"/>
    <cellStyle name="常规 7 3 4 3" xfId="812"/>
    <cellStyle name="千位分隔 4 3" xfId="813"/>
    <cellStyle name="常规 7 3 4 3 2" xfId="814"/>
    <cellStyle name="常规 7 3 5" xfId="815"/>
    <cellStyle name="千位分隔 5" xfId="816"/>
    <cellStyle name="常规 7 3 5 2" xfId="817"/>
    <cellStyle name="千位分隔 5 2" xfId="818"/>
    <cellStyle name="常规 7 3 6" xfId="819"/>
    <cellStyle name="常规 7 4" xfId="820"/>
    <cellStyle name="常规 7 4 2" xfId="821"/>
    <cellStyle name="常规 7 4 2 2" xfId="822"/>
    <cellStyle name="常规 7 4 2 2 2" xfId="823"/>
    <cellStyle name="常规 7 4 2 2 2 2" xfId="824"/>
    <cellStyle name="常规 9 3 2 5" xfId="825"/>
    <cellStyle name="常规 7 4 2 2 3" xfId="826"/>
    <cellStyle name="常规 7 4 3" xfId="827"/>
    <cellStyle name="常规 7 4 3 2" xfId="828"/>
    <cellStyle name="常规 7 4 3 2 2" xfId="829"/>
    <cellStyle name="常规 7 4 4" xfId="830"/>
    <cellStyle name="常规 7 5" xfId="831"/>
    <cellStyle name="常规 7 5 2" xfId="832"/>
    <cellStyle name="常规 7 5 2 2" xfId="833"/>
    <cellStyle name="常规 7 5 2 3" xfId="834"/>
    <cellStyle name="常规 7 5 3" xfId="835"/>
    <cellStyle name="常规 7 5 4" xfId="836"/>
    <cellStyle name="常规 7 6" xfId="837"/>
    <cellStyle name="常规 7 6 2" xfId="838"/>
    <cellStyle name="输入 2 5" xfId="839"/>
    <cellStyle name="常规 7 6 3" xfId="840"/>
    <cellStyle name="常规 7 6 3 2" xfId="841"/>
    <cellStyle name="常规 7 6 4" xfId="842"/>
    <cellStyle name="常规 7 7" xfId="843"/>
    <cellStyle name="常规 9 3 2" xfId="844"/>
    <cellStyle name="常规 7 7 2" xfId="845"/>
    <cellStyle name="常规 9 3 2 2" xfId="846"/>
    <cellStyle name="常规 7 7 2 2" xfId="847"/>
    <cellStyle name="常规 9 3 2 2 2" xfId="848"/>
    <cellStyle name="常规 7 7 3" xfId="849"/>
    <cellStyle name="常规 9 3 2 3" xfId="850"/>
    <cellStyle name="常规 7 7 3 2" xfId="851"/>
    <cellStyle name="常规 9 3 2 3 2" xfId="852"/>
    <cellStyle name="常规 7 7 4" xfId="853"/>
    <cellStyle name="常规 9 3 2 4" xfId="854"/>
    <cellStyle name="输入 2" xfId="855"/>
    <cellStyle name="常规 7 8" xfId="856"/>
    <cellStyle name="常规 9 3 3" xfId="857"/>
    <cellStyle name="常规 7 8 2" xfId="858"/>
    <cellStyle name="常规 9 3 3 2" xfId="859"/>
    <cellStyle name="常规 8" xfId="860"/>
    <cellStyle name="常规 9 2" xfId="861"/>
    <cellStyle name="常规 9 2 2 3 4" xfId="862"/>
    <cellStyle name="常规 9 2 2 4 2" xfId="863"/>
    <cellStyle name="常规 9 2 2 4 2 2" xfId="864"/>
    <cellStyle name="常规 9 2 2 4 3" xfId="865"/>
    <cellStyle name="计算 2 2" xfId="866"/>
    <cellStyle name="常规 9 2 2 5" xfId="867"/>
    <cellStyle name="常规 9 2 3 2 2 2" xfId="868"/>
    <cellStyle name="常规 9 2 3 2 3" xfId="869"/>
    <cellStyle name="常规 9 2 5" xfId="870"/>
    <cellStyle name="常规 9 2 5 2" xfId="871"/>
    <cellStyle name="常规 9 2 5 2 2" xfId="872"/>
    <cellStyle name="常规 9 2 5 3 2" xfId="873"/>
    <cellStyle name="常规 9 2 5 4" xfId="874"/>
    <cellStyle name="常规 9 2 6" xfId="875"/>
    <cellStyle name="常规 9 2 6 2" xfId="876"/>
    <cellStyle name="千位分隔 2 7" xfId="877"/>
    <cellStyle name="常规 9 3 2 2 2 2" xfId="878"/>
    <cellStyle name="常规 9 3 2 2 2 2 2" xfId="879"/>
    <cellStyle name="常规 9 3 2 2 3" xfId="880"/>
    <cellStyle name="常规 9 3 2 2 3 2" xfId="881"/>
    <cellStyle name="常规 9 3 2 3 2 2" xfId="882"/>
    <cellStyle name="常规 9 3 2 3 3" xfId="883"/>
    <cellStyle name="常规 9 3 2 3 3 2" xfId="884"/>
    <cellStyle name="常规 9 3 2 4 2" xfId="885"/>
    <cellStyle name="输入 2 2" xfId="886"/>
    <cellStyle name="常规 9 3 2 4 2 2" xfId="887"/>
    <cellStyle name="输入 2 2 2" xfId="888"/>
    <cellStyle name="常规 9 3 2 4 3" xfId="889"/>
    <cellStyle name="输入 2 3" xfId="890"/>
    <cellStyle name="常规 9 3 3 2 2 2" xfId="891"/>
    <cellStyle name="常规 9 3 3 2 3" xfId="892"/>
    <cellStyle name="千位分隔 2 2 2 4" xfId="893"/>
    <cellStyle name="常规 9 3 3 3" xfId="894"/>
    <cellStyle name="常规 9 3 3 3 2" xfId="895"/>
    <cellStyle name="千位分隔 2 2 3 3" xfId="896"/>
    <cellStyle name="常规 9 3 3 4" xfId="897"/>
    <cellStyle name="常规 9 4 2" xfId="898"/>
    <cellStyle name="常规 9 4 2 2" xfId="899"/>
    <cellStyle name="常规 9 4 2 2 2" xfId="900"/>
    <cellStyle name="常规 9 4 2 2 2 2" xfId="901"/>
    <cellStyle name="千位分隔 2 9" xfId="902"/>
    <cellStyle name="常规 9 4 2 2 3" xfId="903"/>
    <cellStyle name="常规 9 4 2 3" xfId="904"/>
    <cellStyle name="常规 9 4 2 3 2" xfId="905"/>
    <cellStyle name="常规 9 4 3" xfId="906"/>
    <cellStyle name="常规 9 4 3 2" xfId="907"/>
    <cellStyle name="常规 9 4 3 2 2" xfId="908"/>
    <cellStyle name="千位分隔 3 2 2 3" xfId="909"/>
    <cellStyle name="常规 9 4 3 3" xfId="910"/>
    <cellStyle name="常规 9 4 3 3 2" xfId="911"/>
    <cellStyle name="常规 9 4 3 4" xfId="912"/>
    <cellStyle name="常规 9 5" xfId="913"/>
    <cellStyle name="常规 9 5 2" xfId="914"/>
    <cellStyle name="常规 9 7" xfId="915"/>
    <cellStyle name="常规 9 5 2 2" xfId="916"/>
    <cellStyle name="常规 9 7 2" xfId="917"/>
    <cellStyle name="常规 9 5 2 2 2" xfId="918"/>
    <cellStyle name="常规 9 7 2 2" xfId="919"/>
    <cellStyle name="常规 9 5 2 3" xfId="920"/>
    <cellStyle name="常规 9 7 3" xfId="921"/>
    <cellStyle name="常规 9 5 3" xfId="922"/>
    <cellStyle name="常规 9 8" xfId="923"/>
    <cellStyle name="常规 9 5 3 2" xfId="924"/>
    <cellStyle name="常规 9 8 2" xfId="925"/>
    <cellStyle name="常规 9 6 2" xfId="926"/>
    <cellStyle name="常规 9 6 2 2" xfId="927"/>
    <cellStyle name="常规 9 6 3" xfId="928"/>
    <cellStyle name="常规 9 6 3 2" xfId="929"/>
    <cellStyle name="常规 9 7 3 2" xfId="930"/>
    <cellStyle name="好 2" xfId="931"/>
    <cellStyle name="好_2013年分行7月信息科技工作评比计分表（新版）0805" xfId="932"/>
    <cellStyle name="好_2013年分行7月信息科技工作评比计分表（新版）0805 2" xfId="933"/>
    <cellStyle name="好_Sheet1" xfId="934"/>
    <cellStyle name="好_Sheet1 2" xfId="935"/>
    <cellStyle name="汇总 2 2" xfId="936"/>
    <cellStyle name="汇总 2 2 2" xfId="937"/>
    <cellStyle name="汇总 2 3" xfId="938"/>
    <cellStyle name="检查单元格 2" xfId="939"/>
    <cellStyle name="汇总 2 4" xfId="940"/>
    <cellStyle name="汇总 2 5" xfId="941"/>
    <cellStyle name="计算 2" xfId="942"/>
    <cellStyle name="计算 2 2 2" xfId="943"/>
    <cellStyle name="计算 2 3" xfId="944"/>
    <cellStyle name="计算 2 4" xfId="945"/>
    <cellStyle name="计算 2 5" xfId="946"/>
    <cellStyle name="解释性文本 2" xfId="947"/>
    <cellStyle name="链接单元格 2" xfId="948"/>
    <cellStyle name="千位分隔 2 2 2 2 3" xfId="949"/>
    <cellStyle name="千位分隔 2 2 3 2 2" xfId="950"/>
    <cellStyle name="千位分隔 2 2 3 2 3" xfId="951"/>
    <cellStyle name="千位分隔 2 2 3 4" xfId="952"/>
    <cellStyle name="千位分隔 2 2 5" xfId="953"/>
    <cellStyle name="千位分隔 2 2 5 2" xfId="954"/>
    <cellStyle name="千位分隔 2 2 5 3" xfId="955"/>
    <cellStyle name="千位分隔 2 2 7" xfId="956"/>
    <cellStyle name="千位分隔 2 7 2" xfId="957"/>
    <cellStyle name="千位分隔 2 7 3" xfId="958"/>
    <cellStyle name="千位分隔 3 2 4" xfId="959"/>
    <cellStyle name="千位分隔 3 3 3" xfId="960"/>
    <cellStyle name="千位分隔 3 4 3" xfId="961"/>
    <cellStyle name="千位分隔 3 5" xfId="962"/>
    <cellStyle name="千位分隔 4 2 3" xfId="963"/>
    <cellStyle name="强调文字颜色 4 2" xfId="964"/>
    <cellStyle name="强调文字颜色 5 2" xfId="965"/>
    <cellStyle name="强调文字颜色 6 2" xfId="966"/>
    <cellStyle name="输出 2 6" xfId="967"/>
    <cellStyle name="输入 2 4" xfId="968"/>
    <cellStyle name="样式 1" xfId="969"/>
  </cellStyles>
  <tableStyles count="0" defaultTableStyle="TableStyleMedium2" defaultPivotStyle="PivotStyleMedium9"/>
  <colors>
    <mruColors>
      <color rgb="00FFFF99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5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S7" sqref="S7"/>
    </sheetView>
  </sheetViews>
  <sheetFormatPr defaultColWidth="9" defaultRowHeight="15.6"/>
  <cols>
    <col min="1" max="1" width="3.75" style="25" customWidth="1"/>
    <col min="2" max="2" width="8" style="25" customWidth="1"/>
    <col min="3" max="6" width="13" style="26" customWidth="1"/>
    <col min="7" max="8" width="12.375" style="25" customWidth="1"/>
    <col min="9" max="9" width="12" style="25" customWidth="1"/>
    <col min="10" max="10" width="11.25" style="25" customWidth="1"/>
    <col min="11" max="11" width="9.5" style="25" customWidth="1"/>
    <col min="12" max="12" width="7.75" style="25" customWidth="1"/>
    <col min="13" max="13" width="9.25" style="25" customWidth="1"/>
    <col min="14" max="16384" width="9" style="25"/>
  </cols>
  <sheetData>
    <row r="1" s="24" customFormat="1" ht="64" customHeight="1" spans="1:17">
      <c r="A1" s="27" t="s">
        <v>0</v>
      </c>
      <c r="B1" s="28" t="s">
        <v>1</v>
      </c>
      <c r="C1" s="28" t="s">
        <v>2</v>
      </c>
      <c r="D1" s="29" t="s">
        <v>3</v>
      </c>
      <c r="E1" s="29" t="s">
        <v>4</v>
      </c>
      <c r="F1" s="29" t="s">
        <v>5</v>
      </c>
      <c r="G1" s="30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40" t="s">
        <v>12</v>
      </c>
      <c r="N1" s="41" t="s">
        <v>13</v>
      </c>
      <c r="O1" s="41" t="s">
        <v>14</v>
      </c>
      <c r="P1" s="42" t="s">
        <v>15</v>
      </c>
      <c r="Q1" s="42" t="s">
        <v>16</v>
      </c>
    </row>
    <row r="2" spans="1:17">
      <c r="A2" s="32">
        <v>1</v>
      </c>
      <c r="B2" s="33" t="s">
        <v>17</v>
      </c>
      <c r="C2" s="34" t="s">
        <v>18</v>
      </c>
      <c r="D2" s="35" t="s">
        <v>19</v>
      </c>
      <c r="E2" s="35" t="s">
        <v>20</v>
      </c>
      <c r="F2" s="35">
        <v>-1</v>
      </c>
      <c r="G2" s="36">
        <v>30</v>
      </c>
      <c r="H2" s="36">
        <v>14</v>
      </c>
      <c r="I2" s="36">
        <v>19.9</v>
      </c>
      <c r="J2" s="36">
        <v>18</v>
      </c>
      <c r="K2" s="36">
        <v>3.875</v>
      </c>
      <c r="L2" s="36">
        <v>-2.2</v>
      </c>
      <c r="M2" s="43">
        <v>82.575</v>
      </c>
      <c r="N2" s="44">
        <v>6</v>
      </c>
      <c r="O2" s="44">
        <v>28</v>
      </c>
      <c r="P2" s="45">
        <v>2025</v>
      </c>
      <c r="Q2" s="45" t="s">
        <v>2</v>
      </c>
    </row>
    <row r="3" spans="1:17">
      <c r="A3" s="32">
        <v>2</v>
      </c>
      <c r="B3" s="33" t="s">
        <v>17</v>
      </c>
      <c r="C3" s="34" t="s">
        <v>21</v>
      </c>
      <c r="D3" s="35" t="s">
        <v>22</v>
      </c>
      <c r="E3" s="35" t="s">
        <v>23</v>
      </c>
      <c r="F3" s="35">
        <v>0</v>
      </c>
      <c r="G3" s="36">
        <v>29.6969696969697</v>
      </c>
      <c r="H3" s="36">
        <v>15</v>
      </c>
      <c r="I3" s="36">
        <v>20</v>
      </c>
      <c r="J3" s="36">
        <v>25</v>
      </c>
      <c r="K3" s="36">
        <v>6.69</v>
      </c>
      <c r="L3" s="36">
        <v>-1.5</v>
      </c>
      <c r="M3" s="43">
        <v>94.8869696969697</v>
      </c>
      <c r="N3" s="44">
        <v>1</v>
      </c>
      <c r="O3" s="44">
        <v>2</v>
      </c>
      <c r="P3" s="45">
        <v>2025</v>
      </c>
      <c r="Q3" s="45" t="s">
        <v>2</v>
      </c>
    </row>
    <row r="4" spans="1:17">
      <c r="A4" s="32">
        <v>3</v>
      </c>
      <c r="B4" s="33" t="s">
        <v>17</v>
      </c>
      <c r="C4" s="34" t="s">
        <v>24</v>
      </c>
      <c r="D4" s="35" t="s">
        <v>25</v>
      </c>
      <c r="E4" s="35" t="s">
        <v>26</v>
      </c>
      <c r="F4" s="35">
        <v>-1</v>
      </c>
      <c r="G4" s="36">
        <v>28.4</v>
      </c>
      <c r="H4" s="36">
        <v>15</v>
      </c>
      <c r="I4" s="36">
        <v>20</v>
      </c>
      <c r="J4" s="36">
        <v>25</v>
      </c>
      <c r="K4" s="36">
        <v>7.05769230769231</v>
      </c>
      <c r="L4" s="36">
        <v>-1.5</v>
      </c>
      <c r="M4" s="43">
        <v>92.9576923076923</v>
      </c>
      <c r="N4" s="44">
        <v>4</v>
      </c>
      <c r="O4" s="44">
        <v>6</v>
      </c>
      <c r="P4" s="45">
        <v>2025</v>
      </c>
      <c r="Q4" s="45" t="s">
        <v>2</v>
      </c>
    </row>
    <row r="5" spans="1:17">
      <c r="A5" s="32">
        <v>4</v>
      </c>
      <c r="B5" s="33" t="s">
        <v>17</v>
      </c>
      <c r="C5" s="34" t="s">
        <v>27</v>
      </c>
      <c r="D5" s="35" t="s">
        <v>28</v>
      </c>
      <c r="E5" s="35" t="s">
        <v>29</v>
      </c>
      <c r="F5" s="35">
        <v>0</v>
      </c>
      <c r="G5" s="36">
        <v>30</v>
      </c>
      <c r="H5" s="36">
        <v>15</v>
      </c>
      <c r="I5" s="36">
        <v>20</v>
      </c>
      <c r="J5" s="36">
        <v>24</v>
      </c>
      <c r="K5" s="36">
        <v>8.19230769230769</v>
      </c>
      <c r="L5" s="36">
        <v>-3.05</v>
      </c>
      <c r="M5" s="43">
        <v>94.1423076923077</v>
      </c>
      <c r="N5" s="44">
        <v>3</v>
      </c>
      <c r="O5" s="44">
        <v>4</v>
      </c>
      <c r="P5" s="45">
        <v>2025</v>
      </c>
      <c r="Q5" s="45" t="s">
        <v>2</v>
      </c>
    </row>
    <row r="6" spans="1:17">
      <c r="A6" s="32">
        <v>5</v>
      </c>
      <c r="B6" s="33" t="s">
        <v>17</v>
      </c>
      <c r="C6" s="34" t="s">
        <v>30</v>
      </c>
      <c r="D6" s="35" t="s">
        <v>31</v>
      </c>
      <c r="E6" s="35" t="s">
        <v>32</v>
      </c>
      <c r="F6" s="35">
        <v>0</v>
      </c>
      <c r="G6" s="36">
        <v>29</v>
      </c>
      <c r="H6" s="36">
        <v>15</v>
      </c>
      <c r="I6" s="36">
        <v>20</v>
      </c>
      <c r="J6" s="36">
        <v>25</v>
      </c>
      <c r="K6" s="36">
        <v>6.76923076923077</v>
      </c>
      <c r="L6" s="36">
        <v>-1.3</v>
      </c>
      <c r="M6" s="43">
        <v>94.4692307692308</v>
      </c>
      <c r="N6" s="44">
        <v>2</v>
      </c>
      <c r="O6" s="44">
        <v>3</v>
      </c>
      <c r="P6" s="45">
        <v>2025</v>
      </c>
      <c r="Q6" s="45" t="s">
        <v>2</v>
      </c>
    </row>
    <row r="7" spans="1:17">
      <c r="A7" s="32">
        <v>6</v>
      </c>
      <c r="B7" s="33" t="s">
        <v>17</v>
      </c>
      <c r="C7" s="34" t="s">
        <v>33</v>
      </c>
      <c r="D7" s="35" t="s">
        <v>31</v>
      </c>
      <c r="E7" s="35" t="s">
        <v>34</v>
      </c>
      <c r="F7" s="35">
        <v>-1.5</v>
      </c>
      <c r="G7" s="36">
        <v>28.52</v>
      </c>
      <c r="H7" s="36">
        <v>14</v>
      </c>
      <c r="I7" s="36">
        <v>16.7</v>
      </c>
      <c r="J7" s="36">
        <v>22</v>
      </c>
      <c r="K7" s="36">
        <v>3.20192307692308</v>
      </c>
      <c r="L7" s="36">
        <v>-1.5</v>
      </c>
      <c r="M7" s="43">
        <v>81.4219230769231</v>
      </c>
      <c r="N7" s="44">
        <v>7</v>
      </c>
      <c r="O7" s="44">
        <v>31</v>
      </c>
      <c r="P7" s="45">
        <v>2025</v>
      </c>
      <c r="Q7" s="45" t="s">
        <v>2</v>
      </c>
    </row>
    <row r="8" spans="1:17">
      <c r="A8" s="32">
        <v>7</v>
      </c>
      <c r="B8" s="33" t="s">
        <v>17</v>
      </c>
      <c r="C8" s="34" t="s">
        <v>35</v>
      </c>
      <c r="D8" s="35" t="s">
        <v>36</v>
      </c>
      <c r="E8" s="35" t="s">
        <v>37</v>
      </c>
      <c r="F8" s="35">
        <v>-1.5</v>
      </c>
      <c r="G8" s="36">
        <v>28.2878787878788</v>
      </c>
      <c r="H8" s="36">
        <v>15</v>
      </c>
      <c r="I8" s="36">
        <v>18.6</v>
      </c>
      <c r="J8" s="36">
        <v>18.5</v>
      </c>
      <c r="K8" s="36">
        <v>4.25961538461539</v>
      </c>
      <c r="L8" s="36">
        <v>-2.1</v>
      </c>
      <c r="M8" s="43">
        <v>81.0474941724942</v>
      </c>
      <c r="N8" s="44">
        <v>8</v>
      </c>
      <c r="O8" s="44">
        <v>32</v>
      </c>
      <c r="P8" s="45">
        <v>2025</v>
      </c>
      <c r="Q8" s="45" t="s">
        <v>2</v>
      </c>
    </row>
    <row r="9" spans="1:17">
      <c r="A9" s="32">
        <v>8</v>
      </c>
      <c r="B9" s="33" t="s">
        <v>17</v>
      </c>
      <c r="C9" s="34" t="s">
        <v>38</v>
      </c>
      <c r="D9" s="35" t="s">
        <v>39</v>
      </c>
      <c r="E9" s="35" t="s">
        <v>40</v>
      </c>
      <c r="F9" s="35">
        <v>-0.5</v>
      </c>
      <c r="G9" s="36">
        <v>29.1969696969697</v>
      </c>
      <c r="H9" s="36">
        <v>15</v>
      </c>
      <c r="I9" s="36">
        <v>18.5</v>
      </c>
      <c r="J9" s="36">
        <v>24</v>
      </c>
      <c r="K9" s="36">
        <v>7.86</v>
      </c>
      <c r="L9" s="36">
        <v>-1.1</v>
      </c>
      <c r="M9" s="43">
        <v>92.9569696969697</v>
      </c>
      <c r="N9" s="44">
        <v>4</v>
      </c>
      <c r="O9" s="44">
        <v>7</v>
      </c>
      <c r="P9" s="45">
        <v>2025</v>
      </c>
      <c r="Q9" s="45" t="s">
        <v>2</v>
      </c>
    </row>
    <row r="10" ht="15" customHeight="1" spans="1:17">
      <c r="A10" s="32">
        <v>9</v>
      </c>
      <c r="B10" s="33" t="s">
        <v>41</v>
      </c>
      <c r="C10" s="34" t="s">
        <v>42</v>
      </c>
      <c r="D10" s="35" t="s">
        <v>43</v>
      </c>
      <c r="E10" s="35" t="s">
        <v>44</v>
      </c>
      <c r="F10" s="35">
        <v>-1.5</v>
      </c>
      <c r="G10" s="36">
        <v>28.75</v>
      </c>
      <c r="H10" s="36">
        <v>15</v>
      </c>
      <c r="I10" s="36">
        <v>20</v>
      </c>
      <c r="J10" s="36">
        <v>25</v>
      </c>
      <c r="K10" s="36">
        <v>7.61538461538461</v>
      </c>
      <c r="L10" s="36">
        <v>-1</v>
      </c>
      <c r="M10" s="43">
        <v>93.8653846153846</v>
      </c>
      <c r="N10" s="44">
        <v>2</v>
      </c>
      <c r="O10" s="44">
        <v>5</v>
      </c>
      <c r="P10" s="45">
        <v>2025</v>
      </c>
      <c r="Q10" s="45" t="s">
        <v>2</v>
      </c>
    </row>
    <row r="11" spans="1:17">
      <c r="A11" s="32">
        <v>10</v>
      </c>
      <c r="B11" s="33" t="s">
        <v>41</v>
      </c>
      <c r="C11" s="34" t="s">
        <v>45</v>
      </c>
      <c r="D11" s="35" t="s">
        <v>46</v>
      </c>
      <c r="E11" s="35" t="s">
        <v>47</v>
      </c>
      <c r="F11" s="35">
        <v>0</v>
      </c>
      <c r="G11" s="36">
        <v>30</v>
      </c>
      <c r="H11" s="36">
        <v>15</v>
      </c>
      <c r="I11" s="36">
        <v>20</v>
      </c>
      <c r="J11" s="36">
        <v>25</v>
      </c>
      <c r="K11" s="36">
        <v>8.50576923076923</v>
      </c>
      <c r="L11" s="36">
        <v>-2.25</v>
      </c>
      <c r="M11" s="43">
        <v>96.2557692307692</v>
      </c>
      <c r="N11" s="44">
        <v>1</v>
      </c>
      <c r="O11" s="44">
        <v>1</v>
      </c>
      <c r="P11" s="45">
        <v>2025</v>
      </c>
      <c r="Q11" s="45" t="s">
        <v>2</v>
      </c>
    </row>
    <row r="12" spans="1:17">
      <c r="A12" s="32">
        <v>11</v>
      </c>
      <c r="B12" s="33" t="s">
        <v>41</v>
      </c>
      <c r="C12" s="34" t="s">
        <v>48</v>
      </c>
      <c r="D12" s="35" t="s">
        <v>49</v>
      </c>
      <c r="E12" s="35" t="s">
        <v>50</v>
      </c>
      <c r="F12" s="35">
        <v>-7.5</v>
      </c>
      <c r="G12" s="36">
        <v>29.0939393939394</v>
      </c>
      <c r="H12" s="36">
        <v>15</v>
      </c>
      <c r="I12" s="36">
        <v>19.5</v>
      </c>
      <c r="J12" s="36">
        <v>17</v>
      </c>
      <c r="K12" s="36">
        <v>1.38461538461539</v>
      </c>
      <c r="L12" s="36">
        <v>-13.8</v>
      </c>
      <c r="M12" s="43">
        <v>60.6785547785548</v>
      </c>
      <c r="N12" s="44">
        <v>9</v>
      </c>
      <c r="O12" s="44">
        <v>43</v>
      </c>
      <c r="P12" s="45">
        <v>2025</v>
      </c>
      <c r="Q12" s="45" t="s">
        <v>2</v>
      </c>
    </row>
    <row r="13" spans="1:17">
      <c r="A13" s="32">
        <v>12</v>
      </c>
      <c r="B13" s="33" t="s">
        <v>41</v>
      </c>
      <c r="C13" s="34" t="s">
        <v>51</v>
      </c>
      <c r="D13" s="35" t="s">
        <v>52</v>
      </c>
      <c r="E13" s="35" t="s">
        <v>53</v>
      </c>
      <c r="F13" s="35">
        <v>-1</v>
      </c>
      <c r="G13" s="36">
        <v>30</v>
      </c>
      <c r="H13" s="36">
        <v>14</v>
      </c>
      <c r="I13" s="36">
        <v>20</v>
      </c>
      <c r="J13" s="36">
        <v>18.5</v>
      </c>
      <c r="K13" s="36">
        <v>3.36538461538461</v>
      </c>
      <c r="L13" s="36">
        <v>-2</v>
      </c>
      <c r="M13" s="43">
        <v>82.8653846153846</v>
      </c>
      <c r="N13" s="44">
        <v>7</v>
      </c>
      <c r="O13" s="44">
        <v>26</v>
      </c>
      <c r="P13" s="45">
        <v>2025</v>
      </c>
      <c r="Q13" s="45" t="s">
        <v>2</v>
      </c>
    </row>
    <row r="14" spans="1:17">
      <c r="A14" s="32">
        <v>13</v>
      </c>
      <c r="B14" s="33" t="s">
        <v>41</v>
      </c>
      <c r="C14" s="34" t="s">
        <v>54</v>
      </c>
      <c r="D14" s="35" t="s">
        <v>55</v>
      </c>
      <c r="E14" s="35" t="s">
        <v>56</v>
      </c>
      <c r="F14" s="35">
        <v>-0.5</v>
      </c>
      <c r="G14" s="36">
        <v>29</v>
      </c>
      <c r="H14" s="36">
        <v>15</v>
      </c>
      <c r="I14" s="36">
        <v>20</v>
      </c>
      <c r="J14" s="36">
        <v>23</v>
      </c>
      <c r="K14" s="36">
        <v>2.00961538461538</v>
      </c>
      <c r="L14" s="36">
        <v>-2.1</v>
      </c>
      <c r="M14" s="43">
        <v>86.4096153846154</v>
      </c>
      <c r="N14" s="44">
        <v>4</v>
      </c>
      <c r="O14" s="44">
        <v>15</v>
      </c>
      <c r="P14" s="45">
        <v>2025</v>
      </c>
      <c r="Q14" s="45" t="s">
        <v>2</v>
      </c>
    </row>
    <row r="15" spans="1:17">
      <c r="A15" s="32">
        <v>14</v>
      </c>
      <c r="B15" s="33" t="s">
        <v>41</v>
      </c>
      <c r="C15" s="34" t="s">
        <v>57</v>
      </c>
      <c r="D15" s="35" t="s">
        <v>58</v>
      </c>
      <c r="E15" s="35" t="s">
        <v>59</v>
      </c>
      <c r="F15" s="35">
        <v>-3</v>
      </c>
      <c r="G15" s="36">
        <v>27.7878787878788</v>
      </c>
      <c r="H15" s="36">
        <v>14.5</v>
      </c>
      <c r="I15" s="36">
        <v>17.7</v>
      </c>
      <c r="J15" s="36">
        <v>20.5</v>
      </c>
      <c r="K15" s="36">
        <v>2.40384615384615</v>
      </c>
      <c r="L15" s="36">
        <v>-1.1</v>
      </c>
      <c r="M15" s="43">
        <v>78.791724941725</v>
      </c>
      <c r="N15" s="44">
        <v>8</v>
      </c>
      <c r="O15" s="44">
        <v>35</v>
      </c>
      <c r="P15" s="45">
        <v>2025</v>
      </c>
      <c r="Q15" s="45" t="s">
        <v>2</v>
      </c>
    </row>
    <row r="16" spans="1:17">
      <c r="A16" s="32">
        <v>15</v>
      </c>
      <c r="B16" s="33" t="s">
        <v>41</v>
      </c>
      <c r="C16" s="34" t="s">
        <v>60</v>
      </c>
      <c r="D16" s="35" t="s">
        <v>61</v>
      </c>
      <c r="E16" s="35" t="s">
        <v>62</v>
      </c>
      <c r="F16" s="35">
        <v>-1.5</v>
      </c>
      <c r="G16" s="36">
        <v>26.1818181818182</v>
      </c>
      <c r="H16" s="36">
        <v>15</v>
      </c>
      <c r="I16" s="36">
        <v>20</v>
      </c>
      <c r="J16" s="36">
        <v>23</v>
      </c>
      <c r="K16" s="36">
        <v>2.61538461538461</v>
      </c>
      <c r="L16" s="36">
        <v>-1.5</v>
      </c>
      <c r="M16" s="43">
        <v>83.7972027972028</v>
      </c>
      <c r="N16" s="44">
        <v>5</v>
      </c>
      <c r="O16" s="44">
        <v>21</v>
      </c>
      <c r="P16" s="45">
        <v>2025</v>
      </c>
      <c r="Q16" s="45" t="s">
        <v>2</v>
      </c>
    </row>
    <row r="17" spans="1:17">
      <c r="A17" s="32">
        <v>16</v>
      </c>
      <c r="B17" s="33" t="s">
        <v>41</v>
      </c>
      <c r="C17" s="34" t="s">
        <v>63</v>
      </c>
      <c r="D17" s="35" t="s">
        <v>39</v>
      </c>
      <c r="E17" s="35" t="s">
        <v>64</v>
      </c>
      <c r="F17" s="35">
        <v>0</v>
      </c>
      <c r="G17" s="36">
        <v>29.5</v>
      </c>
      <c r="H17" s="36">
        <v>15</v>
      </c>
      <c r="I17" s="36">
        <v>19.5</v>
      </c>
      <c r="J17" s="36">
        <v>19.5</v>
      </c>
      <c r="K17" s="36">
        <v>1.30769230769231</v>
      </c>
      <c r="L17" s="36">
        <v>-1.2</v>
      </c>
      <c r="M17" s="43">
        <v>83.6076923076923</v>
      </c>
      <c r="N17" s="44">
        <v>6</v>
      </c>
      <c r="O17" s="44">
        <v>22</v>
      </c>
      <c r="P17" s="45">
        <v>2025</v>
      </c>
      <c r="Q17" s="45" t="s">
        <v>2</v>
      </c>
    </row>
    <row r="18" spans="1:17">
      <c r="A18" s="32">
        <v>17</v>
      </c>
      <c r="B18" s="33" t="s">
        <v>41</v>
      </c>
      <c r="C18" s="34" t="s">
        <v>65</v>
      </c>
      <c r="D18" s="35" t="s">
        <v>66</v>
      </c>
      <c r="E18" s="35" t="str">
        <f>SUBSTITUTE(C18,"分行","")</f>
        <v>西安</v>
      </c>
      <c r="F18" s="35">
        <v>0</v>
      </c>
      <c r="G18" s="36">
        <v>30</v>
      </c>
      <c r="H18" s="36">
        <v>15</v>
      </c>
      <c r="I18" s="36">
        <v>20</v>
      </c>
      <c r="J18" s="36">
        <v>23.5</v>
      </c>
      <c r="K18" s="36">
        <v>2.45192307692308</v>
      </c>
      <c r="L18" s="36">
        <v>-2.5</v>
      </c>
      <c r="M18" s="43">
        <v>88.4519230769231</v>
      </c>
      <c r="N18" s="44">
        <v>3</v>
      </c>
      <c r="O18" s="44">
        <v>10</v>
      </c>
      <c r="P18" s="45">
        <v>2025</v>
      </c>
      <c r="Q18" s="45" t="s">
        <v>2</v>
      </c>
    </row>
    <row r="19" spans="1:17">
      <c r="A19" s="32">
        <v>18</v>
      </c>
      <c r="B19" s="33" t="s">
        <v>67</v>
      </c>
      <c r="C19" s="34" t="s">
        <v>68</v>
      </c>
      <c r="D19" s="35" t="s">
        <v>69</v>
      </c>
      <c r="E19" s="35" t="str">
        <f>SUBSTITUTE(C19,"分行","")</f>
        <v>南昌</v>
      </c>
      <c r="F19" s="35">
        <v>0</v>
      </c>
      <c r="G19" s="36">
        <v>30</v>
      </c>
      <c r="H19" s="36">
        <v>15</v>
      </c>
      <c r="I19" s="36">
        <v>20</v>
      </c>
      <c r="J19" s="36">
        <v>22</v>
      </c>
      <c r="K19" s="36">
        <v>0.278846153846154</v>
      </c>
      <c r="L19" s="36">
        <v>-5.4</v>
      </c>
      <c r="M19" s="43">
        <v>81.8788461538462</v>
      </c>
      <c r="N19" s="44">
        <v>7</v>
      </c>
      <c r="O19" s="44">
        <v>30</v>
      </c>
      <c r="P19" s="45">
        <v>2025</v>
      </c>
      <c r="Q19" s="45" t="s">
        <v>2</v>
      </c>
    </row>
    <row r="20" spans="1:17">
      <c r="A20" s="32">
        <v>19</v>
      </c>
      <c r="B20" s="33" t="s">
        <v>67</v>
      </c>
      <c r="C20" s="34" t="s">
        <v>70</v>
      </c>
      <c r="D20" s="35" t="s">
        <v>19</v>
      </c>
      <c r="E20" s="35" t="s">
        <v>71</v>
      </c>
      <c r="F20" s="35">
        <v>-1</v>
      </c>
      <c r="G20" s="36">
        <v>29.3939393939394</v>
      </c>
      <c r="H20" s="36">
        <v>14</v>
      </c>
      <c r="I20" s="36">
        <v>20</v>
      </c>
      <c r="J20" s="36">
        <v>21</v>
      </c>
      <c r="K20" s="36">
        <v>3.25961538461538</v>
      </c>
      <c r="L20" s="36">
        <v>-3.5</v>
      </c>
      <c r="M20" s="43">
        <v>83.1535547785548</v>
      </c>
      <c r="N20" s="44">
        <v>5</v>
      </c>
      <c r="O20" s="44">
        <v>23</v>
      </c>
      <c r="P20" s="45">
        <v>2025</v>
      </c>
      <c r="Q20" s="45" t="s">
        <v>2</v>
      </c>
    </row>
    <row r="21" spans="1:17">
      <c r="A21" s="32">
        <v>20</v>
      </c>
      <c r="B21" s="33" t="s">
        <v>67</v>
      </c>
      <c r="C21" s="34" t="s">
        <v>72</v>
      </c>
      <c r="D21" s="35" t="s">
        <v>73</v>
      </c>
      <c r="E21" s="35" t="str">
        <f>SUBSTITUTE(C21,"分行","")</f>
        <v>重庆</v>
      </c>
      <c r="F21" s="35">
        <v>-2.5</v>
      </c>
      <c r="G21" s="36">
        <v>28.6363636363636</v>
      </c>
      <c r="H21" s="36">
        <v>15</v>
      </c>
      <c r="I21" s="36">
        <v>18.4</v>
      </c>
      <c r="J21" s="36">
        <v>24</v>
      </c>
      <c r="K21" s="36">
        <v>2.57115384615385</v>
      </c>
      <c r="L21" s="36">
        <v>-9.2</v>
      </c>
      <c r="M21" s="43">
        <v>76.9075174825174</v>
      </c>
      <c r="N21" s="44">
        <v>9</v>
      </c>
      <c r="O21" s="44">
        <v>36</v>
      </c>
      <c r="P21" s="45">
        <v>2025</v>
      </c>
      <c r="Q21" s="45" t="s">
        <v>2</v>
      </c>
    </row>
    <row r="22" ht="14.1" customHeight="1" spans="1:17">
      <c r="A22" s="32">
        <v>21</v>
      </c>
      <c r="B22" s="33" t="s">
        <v>67</v>
      </c>
      <c r="C22" s="34" t="s">
        <v>74</v>
      </c>
      <c r="D22" s="35" t="s">
        <v>75</v>
      </c>
      <c r="E22" s="35" t="str">
        <f>SUBSTITUTE(C22,"分行","")</f>
        <v>呼和浩特</v>
      </c>
      <c r="F22" s="35">
        <v>0</v>
      </c>
      <c r="G22" s="36">
        <v>27.3939393939394</v>
      </c>
      <c r="H22" s="36">
        <v>14</v>
      </c>
      <c r="I22" s="36">
        <v>20</v>
      </c>
      <c r="J22" s="36">
        <v>20</v>
      </c>
      <c r="K22" s="36">
        <v>4.15384615384615</v>
      </c>
      <c r="L22" s="36">
        <v>-3.2</v>
      </c>
      <c r="M22" s="43">
        <v>82.3477855477855</v>
      </c>
      <c r="N22" s="44">
        <v>6</v>
      </c>
      <c r="O22" s="44">
        <v>29</v>
      </c>
      <c r="P22" s="45">
        <v>2025</v>
      </c>
      <c r="Q22" s="45" t="s">
        <v>2</v>
      </c>
    </row>
    <row r="23" spans="1:17">
      <c r="A23" s="32">
        <v>22</v>
      </c>
      <c r="B23" s="33" t="s">
        <v>67</v>
      </c>
      <c r="C23" s="34" t="s">
        <v>76</v>
      </c>
      <c r="D23" s="35" t="s">
        <v>39</v>
      </c>
      <c r="E23" s="35" t="s">
        <v>77</v>
      </c>
      <c r="F23" s="35">
        <v>0</v>
      </c>
      <c r="G23" s="36">
        <v>29.3939393939394</v>
      </c>
      <c r="H23" s="36">
        <v>15</v>
      </c>
      <c r="I23" s="36">
        <v>20</v>
      </c>
      <c r="J23" s="36">
        <v>25</v>
      </c>
      <c r="K23" s="36">
        <v>0.355769230769231</v>
      </c>
      <c r="L23" s="36">
        <v>-1.5</v>
      </c>
      <c r="M23" s="43">
        <v>88.2497086247086</v>
      </c>
      <c r="N23" s="44">
        <v>3</v>
      </c>
      <c r="O23" s="44">
        <v>12</v>
      </c>
      <c r="P23" s="45">
        <v>2025</v>
      </c>
      <c r="Q23" s="45" t="s">
        <v>2</v>
      </c>
    </row>
    <row r="24" spans="1:17">
      <c r="A24" s="32">
        <v>23</v>
      </c>
      <c r="B24" s="33" t="s">
        <v>67</v>
      </c>
      <c r="C24" s="34" t="s">
        <v>78</v>
      </c>
      <c r="D24" s="35" t="s">
        <v>79</v>
      </c>
      <c r="E24" s="35" t="s">
        <v>80</v>
      </c>
      <c r="F24" s="35">
        <v>-1</v>
      </c>
      <c r="G24" s="36">
        <v>30</v>
      </c>
      <c r="H24" s="36">
        <v>15</v>
      </c>
      <c r="I24" s="36">
        <v>20</v>
      </c>
      <c r="J24" s="36">
        <v>23</v>
      </c>
      <c r="K24" s="36">
        <v>3.05769230769231</v>
      </c>
      <c r="L24" s="36">
        <v>-3</v>
      </c>
      <c r="M24" s="43">
        <v>87.0576923076923</v>
      </c>
      <c r="N24" s="44">
        <v>4</v>
      </c>
      <c r="O24" s="44">
        <v>13</v>
      </c>
      <c r="P24" s="45">
        <v>2025</v>
      </c>
      <c r="Q24" s="45" t="s">
        <v>2</v>
      </c>
    </row>
    <row r="25" spans="1:17">
      <c r="A25" s="32">
        <v>24</v>
      </c>
      <c r="B25" s="33" t="s">
        <v>67</v>
      </c>
      <c r="C25" s="34" t="s">
        <v>81</v>
      </c>
      <c r="D25" s="35" t="s">
        <v>82</v>
      </c>
      <c r="E25" s="35" t="str">
        <f>SUBSTITUTE(C25,"分行","")</f>
        <v>乌鲁木齐</v>
      </c>
      <c r="F25" s="35">
        <v>0</v>
      </c>
      <c r="G25" s="36">
        <v>28</v>
      </c>
      <c r="H25" s="36">
        <v>15</v>
      </c>
      <c r="I25" s="36">
        <v>20</v>
      </c>
      <c r="J25" s="36">
        <v>21</v>
      </c>
      <c r="K25" s="36">
        <v>4.34423076923077</v>
      </c>
      <c r="L25" s="36">
        <v>0</v>
      </c>
      <c r="M25" s="43">
        <v>88.3442307692308</v>
      </c>
      <c r="N25" s="44">
        <v>2</v>
      </c>
      <c r="O25" s="44">
        <v>11</v>
      </c>
      <c r="P25" s="45">
        <v>2025</v>
      </c>
      <c r="Q25" s="45" t="s">
        <v>2</v>
      </c>
    </row>
    <row r="26" spans="1:17">
      <c r="A26" s="32">
        <v>25</v>
      </c>
      <c r="B26" s="33" t="s">
        <v>67</v>
      </c>
      <c r="C26" s="34" t="s">
        <v>83</v>
      </c>
      <c r="D26" s="35" t="s">
        <v>28</v>
      </c>
      <c r="E26" s="35" t="s">
        <v>84</v>
      </c>
      <c r="F26" s="35">
        <v>-1</v>
      </c>
      <c r="G26" s="36">
        <v>30</v>
      </c>
      <c r="H26" s="36">
        <v>15</v>
      </c>
      <c r="I26" s="36">
        <v>20</v>
      </c>
      <c r="J26" s="36">
        <v>25</v>
      </c>
      <c r="K26" s="36">
        <v>3.14423076923077</v>
      </c>
      <c r="L26" s="36">
        <v>-1.1</v>
      </c>
      <c r="M26" s="43">
        <v>91.0442307692308</v>
      </c>
      <c r="N26" s="44">
        <v>1</v>
      </c>
      <c r="O26" s="44">
        <v>8</v>
      </c>
      <c r="P26" s="45">
        <v>2025</v>
      </c>
      <c r="Q26" s="45" t="s">
        <v>2</v>
      </c>
    </row>
    <row r="27" spans="1:17">
      <c r="A27" s="32">
        <v>26</v>
      </c>
      <c r="B27" s="33" t="s">
        <v>67</v>
      </c>
      <c r="C27" s="34" t="s">
        <v>85</v>
      </c>
      <c r="D27" s="35" t="s">
        <v>86</v>
      </c>
      <c r="E27" s="35" t="str">
        <f>SUBSTITUTE(C27,"分行","")</f>
        <v>南宁</v>
      </c>
      <c r="F27" s="35">
        <v>0</v>
      </c>
      <c r="G27" s="36">
        <v>27.5</v>
      </c>
      <c r="H27" s="36">
        <v>14</v>
      </c>
      <c r="I27" s="36">
        <v>18.7</v>
      </c>
      <c r="J27" s="36">
        <v>19</v>
      </c>
      <c r="K27" s="36">
        <v>2.25</v>
      </c>
      <c r="L27" s="36">
        <v>-1</v>
      </c>
      <c r="M27" s="43">
        <v>80.45</v>
      </c>
      <c r="N27" s="44">
        <v>8</v>
      </c>
      <c r="O27" s="44">
        <v>33</v>
      </c>
      <c r="P27" s="45">
        <v>2025</v>
      </c>
      <c r="Q27" s="45" t="s">
        <v>2</v>
      </c>
    </row>
    <row r="28" spans="1:17">
      <c r="A28" s="32">
        <v>27</v>
      </c>
      <c r="B28" s="33" t="s">
        <v>87</v>
      </c>
      <c r="C28" s="34" t="s">
        <v>88</v>
      </c>
      <c r="D28" s="35" t="s">
        <v>89</v>
      </c>
      <c r="E28" s="35" t="s">
        <v>90</v>
      </c>
      <c r="F28" s="35">
        <v>-0.5</v>
      </c>
      <c r="G28" s="36">
        <v>28.5</v>
      </c>
      <c r="H28" s="36">
        <v>15</v>
      </c>
      <c r="I28" s="36">
        <v>20</v>
      </c>
      <c r="J28" s="36">
        <v>23</v>
      </c>
      <c r="K28" s="36">
        <v>4.07692307692308</v>
      </c>
      <c r="L28" s="36">
        <v>-0.5</v>
      </c>
      <c r="M28" s="43">
        <v>89.5769230769231</v>
      </c>
      <c r="N28" s="44">
        <v>1</v>
      </c>
      <c r="O28" s="44">
        <v>9</v>
      </c>
      <c r="P28" s="45">
        <v>2025</v>
      </c>
      <c r="Q28" s="45" t="s">
        <v>2</v>
      </c>
    </row>
    <row r="29" spans="1:17">
      <c r="A29" s="32">
        <v>28</v>
      </c>
      <c r="B29" s="33" t="s">
        <v>87</v>
      </c>
      <c r="C29" s="34" t="s">
        <v>91</v>
      </c>
      <c r="D29" s="35" t="s">
        <v>36</v>
      </c>
      <c r="E29" s="35" t="s">
        <v>92</v>
      </c>
      <c r="F29" s="35">
        <v>-2</v>
      </c>
      <c r="G29" s="36">
        <v>26.6818181818182</v>
      </c>
      <c r="H29" s="36">
        <v>15</v>
      </c>
      <c r="I29" s="36">
        <v>20</v>
      </c>
      <c r="J29" s="36">
        <v>23.5</v>
      </c>
      <c r="K29" s="36">
        <v>4.86730769230769</v>
      </c>
      <c r="L29" s="36">
        <v>-3</v>
      </c>
      <c r="M29" s="43">
        <v>85.0491258741259</v>
      </c>
      <c r="N29" s="44">
        <v>3</v>
      </c>
      <c r="O29" s="44">
        <v>17</v>
      </c>
      <c r="P29" s="45">
        <v>2025</v>
      </c>
      <c r="Q29" s="45" t="s">
        <v>2</v>
      </c>
    </row>
    <row r="30" spans="1:17">
      <c r="A30" s="32">
        <v>29</v>
      </c>
      <c r="B30" s="33" t="s">
        <v>87</v>
      </c>
      <c r="C30" s="34" t="s">
        <v>93</v>
      </c>
      <c r="D30" s="35" t="s">
        <v>94</v>
      </c>
      <c r="E30" s="35" t="str">
        <f>SUBSTITUTE(C30,"分行","")</f>
        <v>哈尔滨</v>
      </c>
      <c r="F30" s="35">
        <v>-5.5</v>
      </c>
      <c r="G30" s="36">
        <v>28.4242424242424</v>
      </c>
      <c r="H30" s="36">
        <v>15</v>
      </c>
      <c r="I30" s="36">
        <v>15.5</v>
      </c>
      <c r="J30" s="36">
        <v>19.5</v>
      </c>
      <c r="K30" s="36">
        <v>1.36923076923077</v>
      </c>
      <c r="L30" s="36">
        <v>-2</v>
      </c>
      <c r="M30" s="43">
        <v>72.2934731934732</v>
      </c>
      <c r="N30" s="44">
        <v>6</v>
      </c>
      <c r="O30" s="44">
        <v>38</v>
      </c>
      <c r="P30" s="45">
        <v>2025</v>
      </c>
      <c r="Q30" s="45" t="s">
        <v>2</v>
      </c>
    </row>
    <row r="31" spans="1:17">
      <c r="A31" s="32">
        <v>30</v>
      </c>
      <c r="B31" s="33" t="s">
        <v>87</v>
      </c>
      <c r="C31" s="34" t="s">
        <v>95</v>
      </c>
      <c r="D31" s="35" t="s">
        <v>96</v>
      </c>
      <c r="E31" s="35" t="str">
        <f>SUBSTITUTE(C31,"分行","")</f>
        <v>长春</v>
      </c>
      <c r="F31" s="35">
        <v>-3</v>
      </c>
      <c r="G31" s="36">
        <v>27.3939393939394</v>
      </c>
      <c r="H31" s="36">
        <v>14</v>
      </c>
      <c r="I31" s="36">
        <v>16</v>
      </c>
      <c r="J31" s="36">
        <v>18</v>
      </c>
      <c r="K31" s="36">
        <v>0.576923076923077</v>
      </c>
      <c r="L31" s="36">
        <v>-5.86</v>
      </c>
      <c r="M31" s="43">
        <v>67.1108624708625</v>
      </c>
      <c r="N31" s="44">
        <v>8</v>
      </c>
      <c r="O31" s="44">
        <v>41</v>
      </c>
      <c r="P31" s="45">
        <v>2025</v>
      </c>
      <c r="Q31" s="45" t="s">
        <v>2</v>
      </c>
    </row>
    <row r="32" spans="1:17">
      <c r="A32" s="32">
        <v>31</v>
      </c>
      <c r="B32" s="33" t="s">
        <v>87</v>
      </c>
      <c r="C32" s="34" t="s">
        <v>97</v>
      </c>
      <c r="D32" s="35" t="s">
        <v>98</v>
      </c>
      <c r="E32" s="35" t="str">
        <f>SUBSTITUTE(C32,"分行","")</f>
        <v>昆明</v>
      </c>
      <c r="F32" s="35">
        <v>-1</v>
      </c>
      <c r="G32" s="36">
        <v>29.3181818181818</v>
      </c>
      <c r="H32" s="36">
        <v>15</v>
      </c>
      <c r="I32" s="36">
        <v>20</v>
      </c>
      <c r="J32" s="36">
        <v>21.5</v>
      </c>
      <c r="K32" s="36">
        <v>0.5</v>
      </c>
      <c r="L32" s="36">
        <v>-1.5</v>
      </c>
      <c r="M32" s="43">
        <v>83.8181818181818</v>
      </c>
      <c r="N32" s="44">
        <v>5</v>
      </c>
      <c r="O32" s="44">
        <v>20</v>
      </c>
      <c r="P32" s="45">
        <v>2025</v>
      </c>
      <c r="Q32" s="45" t="s">
        <v>2</v>
      </c>
    </row>
    <row r="33" spans="1:17">
      <c r="A33" s="32">
        <v>32</v>
      </c>
      <c r="B33" s="33" t="s">
        <v>87</v>
      </c>
      <c r="C33" s="34" t="s">
        <v>99</v>
      </c>
      <c r="D33" s="35" t="s">
        <v>79</v>
      </c>
      <c r="E33" s="35" t="s">
        <v>100</v>
      </c>
      <c r="F33" s="35">
        <v>-1.2</v>
      </c>
      <c r="G33" s="36">
        <v>29.5</v>
      </c>
      <c r="H33" s="36">
        <v>14</v>
      </c>
      <c r="I33" s="36">
        <v>20</v>
      </c>
      <c r="J33" s="36">
        <v>25</v>
      </c>
      <c r="K33" s="36">
        <v>2.125</v>
      </c>
      <c r="L33" s="36">
        <v>-2.5</v>
      </c>
      <c r="M33" s="43">
        <v>86.925</v>
      </c>
      <c r="N33" s="44">
        <v>2</v>
      </c>
      <c r="O33" s="44">
        <v>14</v>
      </c>
      <c r="P33" s="45">
        <v>2025</v>
      </c>
      <c r="Q33" s="45" t="s">
        <v>2</v>
      </c>
    </row>
    <row r="34" spans="1:17">
      <c r="A34" s="32">
        <v>33</v>
      </c>
      <c r="B34" s="33" t="s">
        <v>87</v>
      </c>
      <c r="C34" s="34" t="s">
        <v>101</v>
      </c>
      <c r="D34" s="35" t="s">
        <v>102</v>
      </c>
      <c r="E34" s="35" t="str">
        <f>SUBSTITUTE(C34,"分行","")</f>
        <v>兰州</v>
      </c>
      <c r="F34" s="35">
        <v>-1</v>
      </c>
      <c r="G34" s="36">
        <v>29</v>
      </c>
      <c r="H34" s="36">
        <v>15</v>
      </c>
      <c r="I34" s="36">
        <v>17.5</v>
      </c>
      <c r="J34" s="36">
        <v>22.5</v>
      </c>
      <c r="K34" s="36">
        <v>2</v>
      </c>
      <c r="L34" s="36">
        <v>-1</v>
      </c>
      <c r="M34" s="43">
        <v>84</v>
      </c>
      <c r="N34" s="44">
        <v>4</v>
      </c>
      <c r="O34" s="44">
        <v>19</v>
      </c>
      <c r="P34" s="45">
        <v>2025</v>
      </c>
      <c r="Q34" s="45" t="s">
        <v>2</v>
      </c>
    </row>
    <row r="35" spans="1:17">
      <c r="A35" s="32">
        <v>34</v>
      </c>
      <c r="B35" s="33" t="s">
        <v>87</v>
      </c>
      <c r="C35" s="34" t="s">
        <v>103</v>
      </c>
      <c r="D35" s="35" t="s">
        <v>104</v>
      </c>
      <c r="E35" s="35" t="str">
        <f>SUBSTITUTE(C35,"分行","")</f>
        <v>银川</v>
      </c>
      <c r="F35" s="35">
        <v>-5</v>
      </c>
      <c r="G35" s="36">
        <v>24.7878787878788</v>
      </c>
      <c r="H35" s="36">
        <v>9.8</v>
      </c>
      <c r="I35" s="36">
        <v>13</v>
      </c>
      <c r="J35" s="36">
        <v>25</v>
      </c>
      <c r="K35" s="36">
        <v>0.0769230769230769</v>
      </c>
      <c r="L35" s="36">
        <v>-4</v>
      </c>
      <c r="M35" s="43">
        <v>63.6648018648019</v>
      </c>
      <c r="N35" s="44">
        <v>9</v>
      </c>
      <c r="O35" s="44">
        <v>42</v>
      </c>
      <c r="P35" s="45">
        <v>2025</v>
      </c>
      <c r="Q35" s="45" t="s">
        <v>2</v>
      </c>
    </row>
    <row r="36" spans="1:17">
      <c r="A36" s="32">
        <v>35</v>
      </c>
      <c r="B36" s="33" t="s">
        <v>87</v>
      </c>
      <c r="C36" s="34" t="s">
        <v>105</v>
      </c>
      <c r="D36" s="35" t="s">
        <v>106</v>
      </c>
      <c r="E36" s="35" t="str">
        <f>SUBSTITUTE(C36,"分行","")</f>
        <v>贵阳</v>
      </c>
      <c r="F36" s="35">
        <v>-3</v>
      </c>
      <c r="G36" s="36">
        <v>25.1818181818182</v>
      </c>
      <c r="H36" s="36">
        <v>13.6</v>
      </c>
      <c r="I36" s="36">
        <v>14.8</v>
      </c>
      <c r="J36" s="36">
        <v>18.5</v>
      </c>
      <c r="K36" s="36">
        <v>3.20192307692308</v>
      </c>
      <c r="L36" s="36">
        <v>-3.6</v>
      </c>
      <c r="M36" s="43">
        <v>68.6837412587413</v>
      </c>
      <c r="N36" s="44">
        <v>7</v>
      </c>
      <c r="O36" s="44">
        <v>40</v>
      </c>
      <c r="P36" s="45">
        <v>2025</v>
      </c>
      <c r="Q36" s="45" t="s">
        <v>2</v>
      </c>
    </row>
    <row r="37" spans="1:17">
      <c r="A37" s="32">
        <v>36</v>
      </c>
      <c r="B37" s="33" t="s">
        <v>107</v>
      </c>
      <c r="C37" s="34" t="s">
        <v>108</v>
      </c>
      <c r="D37" s="35" t="s">
        <v>39</v>
      </c>
      <c r="E37" s="35" t="s">
        <v>109</v>
      </c>
      <c r="F37" s="35">
        <v>0</v>
      </c>
      <c r="G37" s="36">
        <v>29</v>
      </c>
      <c r="H37" s="36">
        <v>15</v>
      </c>
      <c r="I37" s="36">
        <v>19.5</v>
      </c>
      <c r="J37" s="36">
        <v>22.5</v>
      </c>
      <c r="K37" s="36">
        <v>3.31730769230769</v>
      </c>
      <c r="L37" s="36">
        <v>-4.8</v>
      </c>
      <c r="M37" s="43">
        <v>84.5173076923077</v>
      </c>
      <c r="N37" s="44">
        <v>2</v>
      </c>
      <c r="O37" s="44">
        <v>18</v>
      </c>
      <c r="P37" s="45">
        <v>2025</v>
      </c>
      <c r="Q37" s="45" t="s">
        <v>2</v>
      </c>
    </row>
    <row r="38" spans="1:17">
      <c r="A38" s="32">
        <v>37</v>
      </c>
      <c r="B38" s="33" t="s">
        <v>107</v>
      </c>
      <c r="C38" s="34" t="s">
        <v>110</v>
      </c>
      <c r="D38" s="35" t="s">
        <v>39</v>
      </c>
      <c r="E38" s="35" t="s">
        <v>111</v>
      </c>
      <c r="F38" s="35">
        <v>0</v>
      </c>
      <c r="G38" s="36">
        <v>27.7878787878788</v>
      </c>
      <c r="H38" s="36">
        <v>15</v>
      </c>
      <c r="I38" s="36">
        <v>20</v>
      </c>
      <c r="J38" s="36">
        <v>22.5</v>
      </c>
      <c r="K38" s="36">
        <v>0.5</v>
      </c>
      <c r="L38" s="36">
        <v>-3</v>
      </c>
      <c r="M38" s="43">
        <v>82.7878787878788</v>
      </c>
      <c r="N38" s="44">
        <v>5</v>
      </c>
      <c r="O38" s="44">
        <v>27</v>
      </c>
      <c r="P38" s="45">
        <v>2025</v>
      </c>
      <c r="Q38" s="45" t="s">
        <v>2</v>
      </c>
    </row>
    <row r="39" spans="1:17">
      <c r="A39" s="32">
        <v>38</v>
      </c>
      <c r="B39" s="33" t="s">
        <v>107</v>
      </c>
      <c r="C39" s="34" t="s">
        <v>112</v>
      </c>
      <c r="D39" s="35" t="s">
        <v>39</v>
      </c>
      <c r="E39" s="35" t="s">
        <v>113</v>
      </c>
      <c r="F39" s="35">
        <v>0</v>
      </c>
      <c r="G39" s="36">
        <v>28.5</v>
      </c>
      <c r="H39" s="36">
        <v>15</v>
      </c>
      <c r="I39" s="36">
        <v>19</v>
      </c>
      <c r="J39" s="36">
        <v>19.5</v>
      </c>
      <c r="K39" s="36">
        <v>3.24038461538461</v>
      </c>
      <c r="L39" s="36">
        <v>-5.45</v>
      </c>
      <c r="M39" s="43">
        <v>79.7903846153846</v>
      </c>
      <c r="N39" s="44">
        <v>6</v>
      </c>
      <c r="O39" s="44">
        <v>34</v>
      </c>
      <c r="P39" s="45">
        <v>2025</v>
      </c>
      <c r="Q39" s="45" t="s">
        <v>2</v>
      </c>
    </row>
    <row r="40" spans="1:17">
      <c r="A40" s="32">
        <v>39</v>
      </c>
      <c r="B40" s="33" t="s">
        <v>107</v>
      </c>
      <c r="C40" s="34" t="s">
        <v>114</v>
      </c>
      <c r="D40" s="35" t="s">
        <v>39</v>
      </c>
      <c r="E40" s="35" t="s">
        <v>115</v>
      </c>
      <c r="F40" s="35">
        <v>-1</v>
      </c>
      <c r="G40" s="36">
        <v>27.7878787878788</v>
      </c>
      <c r="H40" s="36">
        <v>15</v>
      </c>
      <c r="I40" s="36">
        <v>20</v>
      </c>
      <c r="J40" s="36">
        <v>20.5</v>
      </c>
      <c r="K40" s="36">
        <v>2.18269230769231</v>
      </c>
      <c r="L40" s="36">
        <v>-1.6</v>
      </c>
      <c r="M40" s="43">
        <v>82.8705710955711</v>
      </c>
      <c r="N40" s="44">
        <v>4</v>
      </c>
      <c r="O40" s="44">
        <v>25</v>
      </c>
      <c r="P40" s="45">
        <v>2025</v>
      </c>
      <c r="Q40" s="45" t="s">
        <v>2</v>
      </c>
    </row>
    <row r="41" spans="1:17">
      <c r="A41" s="32">
        <v>40</v>
      </c>
      <c r="B41" s="33" t="s">
        <v>107</v>
      </c>
      <c r="C41" s="34" t="s">
        <v>116</v>
      </c>
      <c r="D41" s="35" t="s">
        <v>39</v>
      </c>
      <c r="E41" s="35" t="s">
        <v>117</v>
      </c>
      <c r="F41" s="35">
        <v>0</v>
      </c>
      <c r="G41" s="36">
        <v>26.3787878787879</v>
      </c>
      <c r="H41" s="36">
        <v>15</v>
      </c>
      <c r="I41" s="36">
        <v>17.4</v>
      </c>
      <c r="J41" s="36">
        <v>18.5</v>
      </c>
      <c r="K41" s="36">
        <v>1.25</v>
      </c>
      <c r="L41" s="36">
        <v>-3.7</v>
      </c>
      <c r="M41" s="43">
        <v>74.8287878787879</v>
      </c>
      <c r="N41" s="44">
        <v>7</v>
      </c>
      <c r="O41" s="44">
        <v>37</v>
      </c>
      <c r="P41" s="45">
        <v>2025</v>
      </c>
      <c r="Q41" s="45" t="s">
        <v>2</v>
      </c>
    </row>
    <row r="42" spans="1:17">
      <c r="A42" s="32">
        <v>41</v>
      </c>
      <c r="B42" s="33" t="s">
        <v>107</v>
      </c>
      <c r="C42" s="34" t="s">
        <v>118</v>
      </c>
      <c r="D42" s="35" t="s">
        <v>39</v>
      </c>
      <c r="E42" s="35" t="s">
        <v>119</v>
      </c>
      <c r="F42" s="35">
        <v>-1</v>
      </c>
      <c r="G42" s="36">
        <v>28</v>
      </c>
      <c r="H42" s="36">
        <v>15</v>
      </c>
      <c r="I42" s="36">
        <v>18.5</v>
      </c>
      <c r="J42" s="36">
        <v>25</v>
      </c>
      <c r="K42" s="36">
        <v>1</v>
      </c>
      <c r="L42" s="36">
        <v>-1</v>
      </c>
      <c r="M42" s="43">
        <v>85.5</v>
      </c>
      <c r="N42" s="44">
        <v>1</v>
      </c>
      <c r="O42" s="44">
        <v>16</v>
      </c>
      <c r="P42" s="45">
        <v>2025</v>
      </c>
      <c r="Q42" s="45" t="s">
        <v>2</v>
      </c>
    </row>
    <row r="43" spans="1:17">
      <c r="A43" s="32">
        <v>42</v>
      </c>
      <c r="B43" s="33" t="s">
        <v>107</v>
      </c>
      <c r="C43" s="34" t="s">
        <v>120</v>
      </c>
      <c r="D43" s="35" t="s">
        <v>121</v>
      </c>
      <c r="E43" s="35" t="str">
        <f>SUBSTITUTE(C43,"分行","")</f>
        <v>西宁</v>
      </c>
      <c r="F43" s="35">
        <v>-6</v>
      </c>
      <c r="G43" s="36">
        <v>29.5</v>
      </c>
      <c r="H43" s="36">
        <v>14</v>
      </c>
      <c r="I43" s="36">
        <v>14.6</v>
      </c>
      <c r="J43" s="36">
        <v>22.5</v>
      </c>
      <c r="K43" s="36">
        <v>0.5</v>
      </c>
      <c r="L43" s="36">
        <v>-4.5</v>
      </c>
      <c r="M43" s="43">
        <v>70.6</v>
      </c>
      <c r="N43" s="44">
        <v>8</v>
      </c>
      <c r="O43" s="44">
        <v>39</v>
      </c>
      <c r="P43" s="45">
        <v>2025</v>
      </c>
      <c r="Q43" s="45" t="s">
        <v>2</v>
      </c>
    </row>
    <row r="44" spans="1:17">
      <c r="A44" s="32">
        <v>43</v>
      </c>
      <c r="B44" s="33" t="s">
        <v>107</v>
      </c>
      <c r="C44" s="34" t="s">
        <v>122</v>
      </c>
      <c r="D44" s="35" t="s">
        <v>123</v>
      </c>
      <c r="E44" s="35" t="str">
        <f>SUBSTITUTE(C44,"分行","")</f>
        <v>拉萨</v>
      </c>
      <c r="F44" s="35">
        <v>-14</v>
      </c>
      <c r="G44" s="36">
        <v>26.2878787878788</v>
      </c>
      <c r="H44" s="36">
        <v>13</v>
      </c>
      <c r="I44" s="36">
        <v>16</v>
      </c>
      <c r="J44" s="36">
        <v>19</v>
      </c>
      <c r="K44" s="36">
        <v>0</v>
      </c>
      <c r="L44" s="36">
        <v>0</v>
      </c>
      <c r="M44" s="43">
        <v>60.2878787878788</v>
      </c>
      <c r="N44" s="44">
        <v>9</v>
      </c>
      <c r="O44" s="44">
        <v>44</v>
      </c>
      <c r="P44" s="45">
        <v>2025</v>
      </c>
      <c r="Q44" s="45" t="s">
        <v>2</v>
      </c>
    </row>
    <row r="45" spans="1:17">
      <c r="A45" s="32">
        <v>44</v>
      </c>
      <c r="B45" s="33" t="s">
        <v>107</v>
      </c>
      <c r="C45" s="37" t="s">
        <v>124</v>
      </c>
      <c r="D45" s="38" t="s">
        <v>125</v>
      </c>
      <c r="E45" s="35" t="str">
        <f>SUBSTITUTE(C45,"分行","")</f>
        <v>海口</v>
      </c>
      <c r="F45" s="38">
        <v>-3</v>
      </c>
      <c r="G45" s="39">
        <v>27.8939393939394</v>
      </c>
      <c r="H45" s="39">
        <v>14</v>
      </c>
      <c r="I45" s="39">
        <v>20</v>
      </c>
      <c r="J45" s="39">
        <v>25</v>
      </c>
      <c r="K45" s="39">
        <v>2.07692307692308</v>
      </c>
      <c r="L45" s="39">
        <v>-3</v>
      </c>
      <c r="M45" s="43">
        <v>82.9708624708625</v>
      </c>
      <c r="N45" s="44">
        <v>3</v>
      </c>
      <c r="O45" s="44">
        <v>24</v>
      </c>
      <c r="P45" s="45">
        <v>2025</v>
      </c>
      <c r="Q45" s="45" t="s">
        <v>2</v>
      </c>
    </row>
  </sheetData>
  <sheetProtection formatCells="0" insertHyperlinks="0" autoFilter="0"/>
  <autoFilter ref="A1:O45">
    <extLst/>
  </autoFilter>
  <pageMargins left="0.0388888888888889" right="0.118055555555556" top="0.314583333333333" bottom="0.314583333333333" header="0.298611111111111" footer="0.298611111111111"/>
  <pageSetup paperSize="9" scale="27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15" sqref="B15"/>
    </sheetView>
  </sheetViews>
  <sheetFormatPr defaultColWidth="8.1" defaultRowHeight="24" customHeight="1" outlineLevelRow="6" outlineLevelCol="3"/>
  <cols>
    <col min="1" max="1" width="12.825" style="19"/>
    <col min="2" max="2" width="39.4916666666667" style="19"/>
    <col min="3" max="3" width="33.2" style="19" customWidth="1"/>
    <col min="4" max="4" width="14.2166666666667" style="19"/>
    <col min="5" max="16374" width="8.1" style="20"/>
    <col min="16375" max="16384" width="8.1" style="21"/>
  </cols>
  <sheetData>
    <row r="1" customHeight="1" spans="1:4">
      <c r="A1" s="22" t="s">
        <v>126</v>
      </c>
      <c r="B1" s="22" t="s">
        <v>127</v>
      </c>
      <c r="C1" s="22" t="s">
        <v>128</v>
      </c>
      <c r="D1" s="22" t="s">
        <v>129</v>
      </c>
    </row>
    <row r="2" customHeight="1" spans="1:4">
      <c r="A2" s="22" t="s">
        <v>130</v>
      </c>
      <c r="B2" s="23" t="s">
        <v>131</v>
      </c>
      <c r="C2" s="22" t="s">
        <v>132</v>
      </c>
      <c r="D2" s="22" t="s">
        <v>133</v>
      </c>
    </row>
    <row r="3" customHeight="1" spans="1:4">
      <c r="A3" s="22" t="s">
        <v>134</v>
      </c>
      <c r="B3" s="23" t="s">
        <v>135</v>
      </c>
      <c r="C3" s="22" t="s">
        <v>136</v>
      </c>
      <c r="D3" s="22" t="s">
        <v>137</v>
      </c>
    </row>
    <row r="4" customHeight="1" spans="1:4">
      <c r="A4" s="22" t="s">
        <v>138</v>
      </c>
      <c r="B4" s="23" t="s">
        <v>139</v>
      </c>
      <c r="C4" s="22" t="s">
        <v>140</v>
      </c>
      <c r="D4" s="22" t="s">
        <v>141</v>
      </c>
    </row>
    <row r="5" customHeight="1" spans="1:4">
      <c r="A5" s="22" t="s">
        <v>138</v>
      </c>
      <c r="B5" s="23" t="s">
        <v>142</v>
      </c>
      <c r="C5" s="22" t="s">
        <v>143</v>
      </c>
      <c r="D5" s="22" t="s">
        <v>144</v>
      </c>
    </row>
    <row r="6" customHeight="1" spans="1:4">
      <c r="A6" s="22" t="s">
        <v>145</v>
      </c>
      <c r="B6" s="23" t="s">
        <v>146</v>
      </c>
      <c r="C6" s="22" t="s">
        <v>147</v>
      </c>
      <c r="D6" s="22" t="s">
        <v>133</v>
      </c>
    </row>
    <row r="7" customHeight="1" spans="1:4">
      <c r="A7" s="22" t="s">
        <v>148</v>
      </c>
      <c r="B7" s="23" t="s">
        <v>149</v>
      </c>
      <c r="C7" s="22" t="s">
        <v>150</v>
      </c>
      <c r="D7" s="22" t="s">
        <v>151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F14" sqref="F14"/>
    </sheetView>
  </sheetViews>
  <sheetFormatPr defaultColWidth="8.8" defaultRowHeight="15.6"/>
  <cols>
    <col min="1" max="1" width="5.1" customWidth="1"/>
    <col min="2" max="3" width="14.6" customWidth="1"/>
    <col min="4" max="4" width="12.6" customWidth="1"/>
    <col min="5" max="6" width="18.6" customWidth="1"/>
  </cols>
  <sheetData>
    <row r="1" spans="1:10">
      <c r="A1" s="8" t="s">
        <v>0</v>
      </c>
      <c r="B1" s="8" t="s">
        <v>152</v>
      </c>
      <c r="C1" s="9" t="s">
        <v>153</v>
      </c>
      <c r="D1" s="8" t="s">
        <v>154</v>
      </c>
      <c r="E1" s="10" t="s">
        <v>155</v>
      </c>
      <c r="F1" s="10" t="s">
        <v>156</v>
      </c>
      <c r="G1" s="11"/>
      <c r="J1" s="18"/>
    </row>
    <row r="2" spans="1:11">
      <c r="A2" s="8">
        <v>1</v>
      </c>
      <c r="B2" s="8" t="s">
        <v>157</v>
      </c>
      <c r="C2" s="9">
        <v>0.129310344827586</v>
      </c>
      <c r="D2" s="12">
        <v>55.6034482758621</v>
      </c>
      <c r="E2" s="13" t="s">
        <v>42</v>
      </c>
      <c r="F2" s="13" t="s">
        <v>103</v>
      </c>
      <c r="G2" s="11"/>
      <c r="J2" s="18"/>
      <c r="K2" s="18"/>
    </row>
    <row r="3" spans="1:10">
      <c r="A3" s="8">
        <v>2</v>
      </c>
      <c r="B3" s="8" t="s">
        <v>158</v>
      </c>
      <c r="C3" s="9">
        <v>0.181034482758621</v>
      </c>
      <c r="D3" s="12">
        <v>77.8448275862069</v>
      </c>
      <c r="E3" s="13" t="s">
        <v>81</v>
      </c>
      <c r="F3" s="13" t="s">
        <v>120</v>
      </c>
      <c r="G3" s="11"/>
      <c r="J3" s="18"/>
    </row>
    <row r="4" spans="1:12">
      <c r="A4" s="8">
        <v>3</v>
      </c>
      <c r="B4" s="8" t="s">
        <v>159</v>
      </c>
      <c r="C4" s="9">
        <v>0.0517241379310345</v>
      </c>
      <c r="D4" s="12">
        <v>22.2413793103448</v>
      </c>
      <c r="E4" s="13" t="s">
        <v>93</v>
      </c>
      <c r="F4" s="13" t="s">
        <v>74</v>
      </c>
      <c r="G4" s="11"/>
      <c r="J4" s="18"/>
      <c r="L4" s="18"/>
    </row>
    <row r="5" spans="1:10">
      <c r="A5" s="8">
        <v>4</v>
      </c>
      <c r="B5" s="8" t="s">
        <v>160</v>
      </c>
      <c r="C5" s="9">
        <v>0.0689655172413793</v>
      </c>
      <c r="D5" s="12">
        <v>29.6551724137931</v>
      </c>
      <c r="E5" s="14"/>
      <c r="F5" s="14"/>
      <c r="G5" s="11"/>
      <c r="J5" s="18"/>
    </row>
    <row r="6" spans="1:10">
      <c r="A6" s="8">
        <v>5</v>
      </c>
      <c r="B6" s="8" t="s">
        <v>161</v>
      </c>
      <c r="C6" s="9">
        <v>0.198275862068966</v>
      </c>
      <c r="D6" s="12">
        <v>85.2586206896552</v>
      </c>
      <c r="E6" s="14"/>
      <c r="F6" s="14"/>
      <c r="G6" s="11"/>
      <c r="J6" s="18"/>
    </row>
    <row r="7" spans="1:10">
      <c r="A7" s="8">
        <v>6</v>
      </c>
      <c r="B7" s="8" t="s">
        <v>162</v>
      </c>
      <c r="C7" s="9">
        <v>0.172413793103448</v>
      </c>
      <c r="D7" s="12">
        <v>74.1379310344828</v>
      </c>
      <c r="E7" s="14"/>
      <c r="F7" s="14"/>
      <c r="G7" s="11"/>
      <c r="J7" s="18"/>
    </row>
    <row r="8" spans="1:10">
      <c r="A8" s="8">
        <v>7</v>
      </c>
      <c r="B8" s="8" t="s">
        <v>163</v>
      </c>
      <c r="C8" s="9">
        <v>0.0431034482758621</v>
      </c>
      <c r="D8" s="12">
        <v>18.5344827586207</v>
      </c>
      <c r="E8" s="14"/>
      <c r="F8" s="14"/>
      <c r="G8" s="11"/>
      <c r="J8" s="18"/>
    </row>
    <row r="9" spans="1:11">
      <c r="A9" s="8">
        <v>8</v>
      </c>
      <c r="B9" s="8" t="s">
        <v>164</v>
      </c>
      <c r="C9" s="9">
        <v>0.155172413793103</v>
      </c>
      <c r="D9" s="12">
        <v>66.7241379310345</v>
      </c>
      <c r="E9" s="14"/>
      <c r="F9" s="14"/>
      <c r="G9" s="11"/>
      <c r="J9" s="18"/>
      <c r="K9" s="18"/>
    </row>
    <row r="10" spans="1:10">
      <c r="A10" s="15" t="s">
        <v>165</v>
      </c>
      <c r="B10" s="15"/>
      <c r="C10" s="15"/>
      <c r="D10" s="16">
        <f>SUM(D2:D9)</f>
        <v>430</v>
      </c>
      <c r="G10" s="11"/>
      <c r="J10" s="18"/>
    </row>
    <row r="11" spans="4:11">
      <c r="D11" s="17"/>
      <c r="G11" s="11"/>
      <c r="J11" s="18"/>
      <c r="K11" s="17"/>
    </row>
    <row r="12" spans="4:11">
      <c r="D12" s="17"/>
      <c r="G12" s="11"/>
      <c r="J12" s="18"/>
      <c r="K12" s="17"/>
    </row>
    <row r="13" spans="4:11">
      <c r="D13" s="17"/>
      <c r="G13" s="11"/>
      <c r="J13" s="18"/>
      <c r="K13" s="18"/>
    </row>
    <row r="14" spans="4:11">
      <c r="D14" s="18"/>
      <c r="G14" s="11"/>
      <c r="J14" s="18"/>
      <c r="K14" s="17"/>
    </row>
  </sheetData>
  <mergeCells count="1">
    <mergeCell ref="A10:C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pane ySplit="1" topLeftCell="A2" activePane="bottomLeft" state="frozen"/>
      <selection/>
      <selection pane="bottomLeft" activeCell="E46" sqref="E46"/>
    </sheetView>
  </sheetViews>
  <sheetFormatPr defaultColWidth="8" defaultRowHeight="14.4" outlineLevelCol="4"/>
  <cols>
    <col min="1" max="1" width="9.4" style="1" customWidth="1"/>
    <col min="2" max="2" width="16.9" style="1" customWidth="1"/>
    <col min="3" max="3" width="13" style="1" customWidth="1"/>
    <col min="4" max="4" width="14.1" style="1" customWidth="1"/>
    <col min="5" max="5" width="15.4" style="1" customWidth="1"/>
    <col min="6" max="16382" width="8" style="1"/>
    <col min="16383" max="16384" width="8" style="2"/>
  </cols>
  <sheetData>
    <row r="1" spans="1:5">
      <c r="A1" s="3" t="s">
        <v>0</v>
      </c>
      <c r="B1" s="3" t="s">
        <v>166</v>
      </c>
      <c r="C1" s="3" t="s">
        <v>167</v>
      </c>
      <c r="D1" s="4" t="s">
        <v>168</v>
      </c>
      <c r="E1" s="4" t="s">
        <v>169</v>
      </c>
    </row>
    <row r="2" ht="15.6" spans="1:5">
      <c r="A2" s="3">
        <v>1</v>
      </c>
      <c r="B2" s="5" t="s">
        <v>18</v>
      </c>
      <c r="C2" s="3">
        <v>25300</v>
      </c>
      <c r="D2" s="3">
        <v>306</v>
      </c>
      <c r="E2" s="6">
        <v>0.980553918680024</v>
      </c>
    </row>
    <row r="3" ht="15.6" spans="1:5">
      <c r="A3" s="3">
        <v>2</v>
      </c>
      <c r="B3" s="5" t="s">
        <v>21</v>
      </c>
      <c r="C3" s="3">
        <v>18637</v>
      </c>
      <c r="D3" s="3">
        <v>116</v>
      </c>
      <c r="E3" s="6">
        <v>0.939055174900829</v>
      </c>
    </row>
    <row r="4" ht="15.6" spans="1:5">
      <c r="A4" s="3">
        <v>3</v>
      </c>
      <c r="B4" s="5" t="s">
        <v>24</v>
      </c>
      <c r="C4" s="3">
        <v>20768</v>
      </c>
      <c r="D4" s="3">
        <v>12</v>
      </c>
      <c r="E4" s="6">
        <v>0.978291814946619</v>
      </c>
    </row>
    <row r="5" ht="15.6" spans="1:5">
      <c r="A5" s="3">
        <v>4</v>
      </c>
      <c r="B5" s="5" t="s">
        <v>27</v>
      </c>
      <c r="C5" s="3">
        <v>19961</v>
      </c>
      <c r="D5" s="3">
        <v>135</v>
      </c>
      <c r="E5" s="6">
        <v>0.971492873218305</v>
      </c>
    </row>
    <row r="6" ht="15.6" spans="1:5">
      <c r="A6" s="3">
        <v>5</v>
      </c>
      <c r="B6" s="5" t="s">
        <v>30</v>
      </c>
      <c r="C6" s="3">
        <v>23602</v>
      </c>
      <c r="D6" s="3">
        <v>228</v>
      </c>
      <c r="E6" s="6">
        <v>0.990149348585955</v>
      </c>
    </row>
    <row r="7" ht="15.6" spans="1:5">
      <c r="A7" s="3">
        <v>6</v>
      </c>
      <c r="B7" s="5" t="s">
        <v>33</v>
      </c>
      <c r="C7" s="3">
        <v>11795</v>
      </c>
      <c r="D7" s="3">
        <v>210</v>
      </c>
      <c r="E7" s="6">
        <v>0.84829894032348</v>
      </c>
    </row>
    <row r="8" ht="15.6" spans="1:5">
      <c r="A8" s="3">
        <v>7</v>
      </c>
      <c r="B8" s="5" t="s">
        <v>35</v>
      </c>
      <c r="C8" s="3">
        <v>17688</v>
      </c>
      <c r="D8" s="3">
        <v>92</v>
      </c>
      <c r="E8" s="6">
        <v>0.962710322874034</v>
      </c>
    </row>
    <row r="9" ht="15.6" spans="1:5">
      <c r="A9" s="3">
        <v>8</v>
      </c>
      <c r="B9" s="5" t="s">
        <v>38</v>
      </c>
      <c r="C9" s="3">
        <v>10018</v>
      </c>
      <c r="D9" s="3">
        <v>83</v>
      </c>
      <c r="E9" s="6">
        <v>0.963245492371706</v>
      </c>
    </row>
    <row r="10" ht="15.6" spans="1:5">
      <c r="A10" s="3">
        <v>9</v>
      </c>
      <c r="B10" s="5" t="s">
        <v>42</v>
      </c>
      <c r="C10" s="3">
        <v>12725</v>
      </c>
      <c r="D10" s="3">
        <v>37</v>
      </c>
      <c r="E10" s="6">
        <v>0.954320987654321</v>
      </c>
    </row>
    <row r="11" ht="15.6" spans="1:5">
      <c r="A11" s="3">
        <v>10</v>
      </c>
      <c r="B11" s="5" t="s">
        <v>45</v>
      </c>
      <c r="C11" s="3">
        <v>11417</v>
      </c>
      <c r="D11" s="3">
        <v>58</v>
      </c>
      <c r="E11" s="6">
        <v>0.994704992435703</v>
      </c>
    </row>
    <row r="12" ht="15.6" spans="1:5">
      <c r="A12" s="3">
        <v>11</v>
      </c>
      <c r="B12" s="5" t="s">
        <v>48</v>
      </c>
      <c r="C12" s="3">
        <v>10802</v>
      </c>
      <c r="D12" s="3">
        <v>199</v>
      </c>
      <c r="E12" s="6">
        <v>0.931598513011152</v>
      </c>
    </row>
    <row r="13" ht="15.6" spans="1:5">
      <c r="A13" s="3">
        <v>12</v>
      </c>
      <c r="B13" s="5" t="s">
        <v>51</v>
      </c>
      <c r="C13" s="3">
        <v>8997</v>
      </c>
      <c r="D13" s="3">
        <v>24</v>
      </c>
      <c r="E13" s="6">
        <v>0.948021722265322</v>
      </c>
    </row>
    <row r="14" ht="15.6" spans="1:5">
      <c r="A14" s="3">
        <v>13</v>
      </c>
      <c r="B14" s="5" t="s">
        <v>54</v>
      </c>
      <c r="C14" s="3">
        <v>9816</v>
      </c>
      <c r="D14" s="3">
        <v>9</v>
      </c>
      <c r="E14" s="6">
        <v>0.959200666111574</v>
      </c>
    </row>
    <row r="15" ht="15.6" spans="1:5">
      <c r="A15" s="3">
        <v>14</v>
      </c>
      <c r="B15" s="5" t="s">
        <v>57</v>
      </c>
      <c r="C15" s="3">
        <v>8190</v>
      </c>
      <c r="D15" s="3">
        <v>154</v>
      </c>
      <c r="E15" s="6">
        <v>0.915849673202614</v>
      </c>
    </row>
    <row r="16" ht="15.6" spans="1:5">
      <c r="A16" s="3">
        <v>15</v>
      </c>
      <c r="B16" s="5" t="s">
        <v>60</v>
      </c>
      <c r="C16" s="3">
        <v>10465</v>
      </c>
      <c r="D16" s="3">
        <v>17</v>
      </c>
      <c r="E16" s="6">
        <v>0.938967136150235</v>
      </c>
    </row>
    <row r="17" ht="15.6" spans="1:5">
      <c r="A17" s="3">
        <v>16</v>
      </c>
      <c r="B17" s="5" t="s">
        <v>63</v>
      </c>
      <c r="C17" s="3">
        <v>8481</v>
      </c>
      <c r="D17" s="3">
        <v>11</v>
      </c>
      <c r="E17" s="6">
        <v>0.978928884986831</v>
      </c>
    </row>
    <row r="18" ht="15.6" spans="1:5">
      <c r="A18" s="3">
        <v>17</v>
      </c>
      <c r="B18" s="5" t="s">
        <v>65</v>
      </c>
      <c r="C18" s="3">
        <v>8128</v>
      </c>
      <c r="D18" s="3">
        <v>74</v>
      </c>
      <c r="E18" s="6">
        <v>0.961538461538462</v>
      </c>
    </row>
    <row r="19" ht="15.6" spans="1:5">
      <c r="A19" s="3">
        <v>18</v>
      </c>
      <c r="B19" s="5" t="s">
        <v>68</v>
      </c>
      <c r="C19" s="3">
        <v>5279</v>
      </c>
      <c r="D19" s="3">
        <v>76</v>
      </c>
      <c r="E19" s="6">
        <v>0.94885598923284</v>
      </c>
    </row>
    <row r="20" ht="15.6" spans="1:5">
      <c r="A20" s="3">
        <v>19</v>
      </c>
      <c r="B20" s="5" t="s">
        <v>70</v>
      </c>
      <c r="C20" s="3">
        <v>4629</v>
      </c>
      <c r="D20" s="3">
        <v>29</v>
      </c>
      <c r="E20" s="6">
        <v>0.907715582450832</v>
      </c>
    </row>
    <row r="21" ht="15.6" spans="1:5">
      <c r="A21" s="3">
        <v>20</v>
      </c>
      <c r="B21" s="5" t="s">
        <v>72</v>
      </c>
      <c r="C21" s="3">
        <v>8058</v>
      </c>
      <c r="D21" s="3">
        <v>20</v>
      </c>
      <c r="E21" s="6">
        <v>0.92512315270936</v>
      </c>
    </row>
    <row r="22" ht="15.6" spans="1:5">
      <c r="A22" s="3">
        <v>21</v>
      </c>
      <c r="B22" s="5" t="s">
        <v>74</v>
      </c>
      <c r="C22" s="3">
        <v>6267</v>
      </c>
      <c r="D22" s="3">
        <v>7</v>
      </c>
      <c r="E22" s="6">
        <v>0.93719806763285</v>
      </c>
    </row>
    <row r="23" ht="15.6" spans="1:5">
      <c r="A23" s="3">
        <v>22</v>
      </c>
      <c r="B23" s="5" t="s">
        <v>76</v>
      </c>
      <c r="C23" s="3">
        <v>7440</v>
      </c>
      <c r="D23" s="3">
        <v>4</v>
      </c>
      <c r="E23" s="6">
        <v>0.956197576887232</v>
      </c>
    </row>
    <row r="24" ht="15.6" spans="1:5">
      <c r="A24" s="3">
        <v>23</v>
      </c>
      <c r="B24" s="5" t="s">
        <v>78</v>
      </c>
      <c r="C24" s="3">
        <v>6984</v>
      </c>
      <c r="D24" s="3">
        <v>27</v>
      </c>
      <c r="E24" s="6">
        <v>0.967179487179487</v>
      </c>
    </row>
    <row r="25" ht="15.6" spans="1:5">
      <c r="A25" s="3">
        <v>24</v>
      </c>
      <c r="B25" s="5" t="s">
        <v>81</v>
      </c>
      <c r="C25" s="3">
        <v>5177</v>
      </c>
      <c r="D25" s="3">
        <v>43</v>
      </c>
      <c r="E25" s="6">
        <v>0.988148148148148</v>
      </c>
    </row>
    <row r="26" ht="15.6" spans="1:5">
      <c r="A26" s="3">
        <v>25</v>
      </c>
      <c r="B26" s="5" t="s">
        <v>83</v>
      </c>
      <c r="C26" s="3">
        <v>4513</v>
      </c>
      <c r="D26" s="3">
        <v>52</v>
      </c>
      <c r="E26" s="6">
        <v>0.943683409436834</v>
      </c>
    </row>
    <row r="27" ht="15.6" spans="1:5">
      <c r="A27" s="3">
        <v>26</v>
      </c>
      <c r="B27" s="5" t="s">
        <v>85</v>
      </c>
      <c r="C27" s="3">
        <v>6029</v>
      </c>
      <c r="D27" s="3">
        <v>28</v>
      </c>
      <c r="E27" s="6">
        <v>0.96125</v>
      </c>
    </row>
    <row r="28" ht="15.6" spans="1:5">
      <c r="A28" s="3">
        <v>27</v>
      </c>
      <c r="B28" s="5" t="s">
        <v>88</v>
      </c>
      <c r="C28" s="3">
        <v>7250</v>
      </c>
      <c r="D28" s="3">
        <v>6</v>
      </c>
      <c r="E28" s="6">
        <v>0.923444976076555</v>
      </c>
    </row>
    <row r="29" ht="15.6" spans="1:5">
      <c r="A29" s="3">
        <v>28</v>
      </c>
      <c r="B29" s="5" t="s">
        <v>91</v>
      </c>
      <c r="C29" s="3">
        <v>5587</v>
      </c>
      <c r="D29" s="3">
        <v>54</v>
      </c>
      <c r="E29" s="6">
        <v>0.989164086687306</v>
      </c>
    </row>
    <row r="30" ht="15.6" spans="1:5">
      <c r="A30" s="3">
        <v>29</v>
      </c>
      <c r="B30" s="5" t="s">
        <v>93</v>
      </c>
      <c r="C30" s="3">
        <v>4851</v>
      </c>
      <c r="D30" s="3">
        <v>4</v>
      </c>
      <c r="E30" s="6">
        <v>0.911722141823444</v>
      </c>
    </row>
    <row r="31" ht="15.6" spans="1:5">
      <c r="A31" s="3">
        <v>30</v>
      </c>
      <c r="B31" s="5" t="s">
        <v>95</v>
      </c>
      <c r="C31" s="3">
        <v>4591</v>
      </c>
      <c r="D31" s="3">
        <v>69</v>
      </c>
      <c r="E31" s="6">
        <v>0.904977375565611</v>
      </c>
    </row>
    <row r="32" ht="15.6" spans="1:5">
      <c r="A32" s="3">
        <v>31</v>
      </c>
      <c r="B32" s="5" t="s">
        <v>97</v>
      </c>
      <c r="C32" s="3">
        <v>4870</v>
      </c>
      <c r="D32" s="3">
        <v>148</v>
      </c>
      <c r="E32" s="6">
        <v>0.970903522205207</v>
      </c>
    </row>
    <row r="33" ht="15.6" spans="1:5">
      <c r="A33" s="3">
        <v>32</v>
      </c>
      <c r="B33" s="5" t="s">
        <v>99</v>
      </c>
      <c r="C33" s="3">
        <v>3530</v>
      </c>
      <c r="D33" s="3">
        <v>30</v>
      </c>
      <c r="E33" s="6">
        <v>0.961451247165533</v>
      </c>
    </row>
    <row r="34" ht="15.6" spans="1:5">
      <c r="A34" s="3">
        <v>33</v>
      </c>
      <c r="B34" s="5" t="s">
        <v>101</v>
      </c>
      <c r="C34" s="3">
        <v>2172</v>
      </c>
      <c r="D34" s="3">
        <v>0</v>
      </c>
      <c r="E34" s="6">
        <v>0.948979591836735</v>
      </c>
    </row>
    <row r="35" ht="15.6" spans="1:5">
      <c r="A35" s="3">
        <v>34</v>
      </c>
      <c r="B35" s="5" t="s">
        <v>103</v>
      </c>
      <c r="C35" s="3">
        <v>839</v>
      </c>
      <c r="D35" s="3">
        <v>12</v>
      </c>
      <c r="E35" s="6">
        <v>0.678832116788321</v>
      </c>
    </row>
    <row r="36" ht="15.6" spans="1:5">
      <c r="A36" s="3">
        <v>35</v>
      </c>
      <c r="B36" s="5" t="s">
        <v>105</v>
      </c>
      <c r="C36" s="3">
        <v>2836</v>
      </c>
      <c r="D36" s="3">
        <v>82</v>
      </c>
      <c r="E36" s="6">
        <v>0.965260545905707</v>
      </c>
    </row>
    <row r="37" ht="15.6" spans="1:5">
      <c r="A37" s="3">
        <v>36</v>
      </c>
      <c r="B37" s="5" t="s">
        <v>108</v>
      </c>
      <c r="C37" s="3">
        <v>4312</v>
      </c>
      <c r="D37" s="3">
        <v>45</v>
      </c>
      <c r="E37" s="6">
        <v>0.960431654676259</v>
      </c>
    </row>
    <row r="38" ht="15.6" spans="1:5">
      <c r="A38" s="3">
        <v>37</v>
      </c>
      <c r="B38" s="5" t="s">
        <v>110</v>
      </c>
      <c r="C38" s="3">
        <v>2220</v>
      </c>
      <c r="D38" s="3">
        <v>46</v>
      </c>
      <c r="E38" s="6">
        <v>0.943521594684385</v>
      </c>
    </row>
    <row r="39" ht="15.6" spans="1:5">
      <c r="A39" s="3">
        <v>38</v>
      </c>
      <c r="B39" s="5" t="s">
        <v>112</v>
      </c>
      <c r="C39" s="3">
        <v>2866</v>
      </c>
      <c r="D39" s="3">
        <v>50</v>
      </c>
      <c r="E39" s="6">
        <v>0.94579945799458</v>
      </c>
    </row>
    <row r="40" ht="15.6" spans="1:5">
      <c r="A40" s="3">
        <v>39</v>
      </c>
      <c r="B40" s="5" t="s">
        <v>114</v>
      </c>
      <c r="C40" s="3">
        <v>2767</v>
      </c>
      <c r="D40" s="3">
        <v>13</v>
      </c>
      <c r="E40" s="6">
        <v>0.979651162790698</v>
      </c>
    </row>
    <row r="41" ht="15.6" spans="1:5">
      <c r="A41" s="3">
        <v>40</v>
      </c>
      <c r="B41" s="5" t="s">
        <v>116</v>
      </c>
      <c r="C41" s="3">
        <v>2527</v>
      </c>
      <c r="D41" s="3">
        <v>22</v>
      </c>
      <c r="E41" s="6">
        <v>0.953846153846154</v>
      </c>
    </row>
    <row r="42" ht="15.6" spans="1:5">
      <c r="A42" s="3">
        <v>41</v>
      </c>
      <c r="B42" s="5" t="s">
        <v>118</v>
      </c>
      <c r="C42" s="3">
        <v>2308</v>
      </c>
      <c r="D42" s="3">
        <v>37</v>
      </c>
      <c r="E42" s="6">
        <v>0.942372881355932</v>
      </c>
    </row>
    <row r="43" ht="15.6" spans="1:5">
      <c r="A43" s="3">
        <v>42</v>
      </c>
      <c r="B43" s="5" t="s">
        <v>120</v>
      </c>
      <c r="C43" s="3">
        <v>1216</v>
      </c>
      <c r="D43" s="3">
        <v>7</v>
      </c>
      <c r="E43" s="6">
        <v>0.909090909090909</v>
      </c>
    </row>
    <row r="44" ht="15.6" spans="1:5">
      <c r="A44" s="3">
        <v>43</v>
      </c>
      <c r="B44" s="5" t="s">
        <v>122</v>
      </c>
      <c r="C44" s="3">
        <v>812</v>
      </c>
      <c r="D44" s="3">
        <v>14</v>
      </c>
      <c r="E44" s="6">
        <v>0.972972972972973</v>
      </c>
    </row>
    <row r="45" ht="15.6" spans="1:5">
      <c r="A45" s="3">
        <v>44</v>
      </c>
      <c r="B45" s="5" t="s">
        <v>124</v>
      </c>
      <c r="C45" s="3">
        <v>2278</v>
      </c>
      <c r="D45" s="3">
        <v>62</v>
      </c>
      <c r="E45" s="6">
        <v>0.901587301587302</v>
      </c>
    </row>
    <row r="46" spans="1:5">
      <c r="A46" s="4" t="s">
        <v>170</v>
      </c>
      <c r="B46" s="4"/>
      <c r="C46" s="4">
        <f>SUM(C2:C45)</f>
        <v>348998</v>
      </c>
      <c r="D46" s="4">
        <f>SUM(D2:D45)</f>
        <v>2752</v>
      </c>
      <c r="E46" s="7">
        <f>AVERAGE(E2:E45)</f>
        <v>0.943552046136099</v>
      </c>
    </row>
  </sheetData>
  <mergeCells count="1">
    <mergeCell ref="A46:B4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"/>
  <sheetViews>
    <sheetView workbookViewId="0">
      <selection activeCell="A1" sqref="A1"/>
    </sheetView>
  </sheetViews>
  <sheetFormatPr defaultColWidth="9" defaultRowHeight="15.6"/>
  <sheetData/>
  <sheetProtection formatCells="0" insertHyperlinks="0" autoFilter="0"/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网络安全检查</vt:lpstr>
      <vt:lpstr>网络安全管理指标</vt:lpstr>
      <vt:lpstr>网络安全检查发现问题</vt:lpstr>
      <vt:lpstr>员工安全画像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框架</dc:title>
  <dc:creator>fan</dc:creator>
  <cp:lastModifiedBy>015080</cp:lastModifiedBy>
  <dcterms:created xsi:type="dcterms:W3CDTF">1996-12-20T01:32:00Z</dcterms:created>
  <cp:lastPrinted>2020-12-24T02:24:00Z</cp:lastPrinted>
  <dcterms:modified xsi:type="dcterms:W3CDTF">2026-08-31T04:25:30Z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KSOReadingLayout">
    <vt:bool>true</vt:bool>
  </property>
  <property fmtid="{D5CDD505-2E9C-101B-9397-08002B2CF9AE}" pid="4" name="CalculationRule">
    <vt:i4>0</vt:i4>
  </property>
  <property fmtid="{D5CDD505-2E9C-101B-9397-08002B2CF9AE}" pid="5" name="ICV">
    <vt:lpwstr>33609F0A2E414077B29CBE03AA5D4B02</vt:lpwstr>
  </property>
</Properties>
</file>