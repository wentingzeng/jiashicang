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1"/>
  <workbookPr/>
  <mc:AlternateContent xmlns:mc="http://schemas.openxmlformats.org/markup-compatibility/2006">
    <mc:Choice Requires="x15">
      <x15ac:absPath xmlns:x15ac="http://schemas.microsoft.com/office/spreadsheetml/2010/11/ac" url="/Users/wenty/Documents/code/work/jsc/data/"/>
    </mc:Choice>
  </mc:AlternateContent>
  <xr:revisionPtr revIDLastSave="0" documentId="13_ncr:1_{1D29FCAC-DBB7-4D40-B7D3-ECE6FAADB4BB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分行剩余任务情况" sheetId="1" r:id="rId1"/>
    <sheet name="总行剩余任务情况" sheetId="3" r:id="rId2"/>
  </sheets>
  <definedNames>
    <definedName name="_xlnm._FilterDatabase" localSheetId="0" hidden="1">分行剩余任务情况!$B$1:$E$1</definedName>
    <definedName name="_xlnm._FilterDatabase" localSheetId="1" hidden="1">总行剩余任务情况!#REF!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5" i="1" l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F43" i="3"/>
  <c r="E43" i="3"/>
  <c r="F42" i="3"/>
  <c r="E42" i="3"/>
  <c r="F41" i="3"/>
  <c r="E41" i="3"/>
  <c r="F40" i="3"/>
  <c r="E40" i="3"/>
  <c r="F39" i="3"/>
  <c r="E39" i="3"/>
  <c r="F38" i="3"/>
  <c r="E38" i="3"/>
  <c r="F37" i="3"/>
  <c r="E37" i="3"/>
  <c r="F36" i="3"/>
  <c r="E36" i="3"/>
  <c r="F35" i="3"/>
  <c r="E35" i="3"/>
  <c r="F34" i="3"/>
  <c r="E34" i="3"/>
  <c r="F33" i="3"/>
  <c r="E33" i="3"/>
  <c r="F32" i="3"/>
  <c r="E32" i="3"/>
  <c r="F31" i="3"/>
  <c r="E31" i="3"/>
  <c r="F30" i="3"/>
  <c r="E30" i="3"/>
  <c r="F29" i="3"/>
  <c r="E29" i="3"/>
  <c r="F28" i="3"/>
  <c r="E28" i="3"/>
  <c r="F27" i="3"/>
  <c r="E27" i="3"/>
  <c r="F26" i="3"/>
  <c r="E26" i="3"/>
  <c r="F25" i="3"/>
  <c r="E25" i="3"/>
  <c r="F24" i="3"/>
  <c r="E24" i="3"/>
  <c r="F23" i="3"/>
  <c r="E23" i="3"/>
  <c r="F22" i="3"/>
  <c r="E22" i="3"/>
  <c r="F21" i="3"/>
  <c r="E21" i="3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</calcChain>
</file>

<file path=xl/sharedStrings.xml><?xml version="1.0" encoding="utf-8"?>
<sst xmlns="http://schemas.openxmlformats.org/spreadsheetml/2006/main" count="98" uniqueCount="93">
  <si>
    <t>序号</t>
  </si>
  <si>
    <t>所属分行</t>
  </si>
  <si>
    <t>纳入改造
系统数量</t>
  </si>
  <si>
    <t>已单轨</t>
  </si>
  <si>
    <t>待单轨数量</t>
  </si>
  <si>
    <t>单轨率</t>
  </si>
  <si>
    <t>广州分行</t>
  </si>
  <si>
    <t>杭州分行</t>
  </si>
  <si>
    <t>北京分行</t>
  </si>
  <si>
    <t>上海分行</t>
  </si>
  <si>
    <t>南京分行</t>
  </si>
  <si>
    <t>福州分行</t>
  </si>
  <si>
    <t>济南分行</t>
  </si>
  <si>
    <t>深圳分行</t>
  </si>
  <si>
    <t>成都分行</t>
  </si>
  <si>
    <t>合肥分行</t>
  </si>
  <si>
    <t>石家庄分行</t>
  </si>
  <si>
    <t>武汉分行</t>
  </si>
  <si>
    <t>郑州分行</t>
  </si>
  <si>
    <t>西安分行</t>
  </si>
  <si>
    <t>长沙分行</t>
  </si>
  <si>
    <t>太原分行</t>
  </si>
  <si>
    <t>厦门分行</t>
  </si>
  <si>
    <t>乌鲁木齐分行</t>
  </si>
  <si>
    <t>南宁分行</t>
  </si>
  <si>
    <t>呼和浩特分行</t>
  </si>
  <si>
    <t>泉州分行</t>
  </si>
  <si>
    <t>宁波分行</t>
  </si>
  <si>
    <t>南昌分行</t>
  </si>
  <si>
    <t>沈阳分行</t>
  </si>
  <si>
    <t>苏州分行</t>
  </si>
  <si>
    <t>重庆分行</t>
  </si>
  <si>
    <t>天津分行</t>
  </si>
  <si>
    <t>青岛分行</t>
  </si>
  <si>
    <t>兰州分行</t>
  </si>
  <si>
    <t>大连分行</t>
  </si>
  <si>
    <t>贵阳分行</t>
  </si>
  <si>
    <t>长春分行</t>
  </si>
  <si>
    <t>昆明分行</t>
  </si>
  <si>
    <t>哈尔滨分行</t>
  </si>
  <si>
    <t>漳州分行</t>
  </si>
  <si>
    <t>莆田分行</t>
  </si>
  <si>
    <t>龙岩分行</t>
  </si>
  <si>
    <t>海口分行</t>
  </si>
  <si>
    <t>南平分行</t>
  </si>
  <si>
    <t>三明分行</t>
  </si>
  <si>
    <t>宁德分行</t>
  </si>
  <si>
    <t>西宁分行</t>
  </si>
  <si>
    <t>银川分行</t>
  </si>
  <si>
    <t>拉萨分行</t>
  </si>
  <si>
    <t>部门</t>
  </si>
  <si>
    <t>公司金融部/民营经济部</t>
  </si>
  <si>
    <t>绿色金融部/战略客户部</t>
  </si>
  <si>
    <t>普惠金融部/乡村振兴部</t>
  </si>
  <si>
    <t>机构业务部</t>
  </si>
  <si>
    <t>国际业务部/交易银行部</t>
  </si>
  <si>
    <t>投资银行部</t>
  </si>
  <si>
    <t>零售金融部/消费者权益保护办公室/养老金融部</t>
  </si>
  <si>
    <t>数字运营部</t>
  </si>
  <si>
    <t>财富管理部</t>
  </si>
  <si>
    <t>私人银行部</t>
  </si>
  <si>
    <t>零售信贷部</t>
  </si>
  <si>
    <t>信用卡中心</t>
  </si>
  <si>
    <t>同业金融部/资产管理部</t>
  </si>
  <si>
    <t>银行合作中心</t>
  </si>
  <si>
    <t>资金营运中心</t>
  </si>
  <si>
    <t>资产托管部</t>
  </si>
  <si>
    <t>福建管理部</t>
  </si>
  <si>
    <t>风险管理部/授信管理部</t>
  </si>
  <si>
    <t>法律与合规部/监督问责部</t>
  </si>
  <si>
    <t>授信审批部</t>
  </si>
  <si>
    <t>特殊资产经营部</t>
  </si>
  <si>
    <t>科技管理部</t>
  </si>
  <si>
    <t>科技管理部-安全条线</t>
  </si>
  <si>
    <t>科技管理部-技服中心</t>
  </si>
  <si>
    <t>科技运维中心</t>
  </si>
  <si>
    <t>金融科技研究院</t>
  </si>
  <si>
    <t>数据管理部</t>
  </si>
  <si>
    <t>安全保卫部/反洗钱中心</t>
  </si>
  <si>
    <t>兴业数金</t>
  </si>
  <si>
    <t>办公室/党委办公室</t>
  </si>
  <si>
    <t>兴业党校/高级研修院</t>
  </si>
  <si>
    <t>行政后勤部</t>
  </si>
  <si>
    <t>驻行纪检监察组</t>
  </si>
  <si>
    <t>研究院</t>
  </si>
  <si>
    <t>资产管理事业部</t>
  </si>
  <si>
    <t>董监事会办公室</t>
  </si>
  <si>
    <t>计划财务部</t>
  </si>
  <si>
    <t>发展规划部</t>
  </si>
  <si>
    <t>人力资源部/党委组织部</t>
  </si>
  <si>
    <t>审计部</t>
  </si>
  <si>
    <t>运营管理部/数字人民币部</t>
  </si>
  <si>
    <t>党群工作部/党委宣传部/工会委员会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</si>
</sst>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0" formatCode="0.0%"/>
  </numFmts>
  <fonts count="4">
    <font>
      <sz val="11"/>
      <color theme="1"/>
      <name val="宋体"/>
      <charset val="134"/>
      <scheme val="minor"/>
    </font>
    <font>
      <sz val="10"/>
      <color rgb="FF00000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180" fontId="0" fillId="0" borderId="0" xfId="1" applyNumberFormat="1" applyBorder="1">
      <alignment vertical="center"/>
    </xf>
    <xf numFmtId="0" fontId="0" fillId="0" borderId="0" xfId="0" applyAlignment="1">
      <alignment horizontal="center" vertical="center" wrapText="1"/>
    </xf>
    <xf numFmtId="180" fontId="0" fillId="0" borderId="0" xfId="1" applyNumberForma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workbookViewId="0">
      <pane ySplit="1" topLeftCell="A4" activePane="bottomLeft" state="frozen"/>
      <selection pane="bottomLeft" activeCell="H29" sqref="H29"/>
    </sheetView>
  </sheetViews>
  <sheetFormatPr baseColWidth="10" defaultColWidth="8.83203125" defaultRowHeight="14"/>
  <cols>
    <col min="2" max="2" width="8.83203125" style="2"/>
    <col min="3" max="3" width="11.6640625" style="2" customWidth="1"/>
    <col min="4" max="4" width="8.83203125" style="2"/>
    <col min="5" max="5" width="11.83203125" style="2" customWidth="1"/>
    <col min="6" max="6" width="12.6640625" style="2"/>
  </cols>
  <sheetData>
    <row r="1" spans="1:6" ht="28.75" customHeight="1">
      <c r="A1" t="s">
        <v>0</v>
      </c>
      <c r="B1" s="2" t="s">
        <v>1</v>
      </c>
      <c r="C1" s="5" t="s">
        <v>2</v>
      </c>
      <c r="D1" s="5" t="s">
        <v>3</v>
      </c>
      <c r="E1" s="2" t="s">
        <v>4</v>
      </c>
      <c r="F1" s="2" t="s">
        <v>5</v>
      </c>
    </row>
    <row r="2" spans="1:6">
      <c r="A2">
        <v>1</v>
      </c>
      <c r="B2" s="2" t="s">
        <v>6</v>
      </c>
      <c r="C2" s="2">
        <v>9</v>
      </c>
      <c r="D2" s="2">
        <v>4</v>
      </c>
      <c r="E2" s="2">
        <f t="shared" ref="E2:E45" si="0">C2-D2</f>
        <v>5</v>
      </c>
      <c r="F2" s="6">
        <f t="shared" ref="F2:F45" si="1">D2/C2</f>
        <v>0.44444444444444442</v>
      </c>
    </row>
    <row r="3" spans="1:6">
      <c r="A3">
        <v>2</v>
      </c>
      <c r="B3" s="2" t="s">
        <v>7</v>
      </c>
      <c r="C3" s="2">
        <v>6</v>
      </c>
      <c r="D3" s="2">
        <v>3</v>
      </c>
      <c r="E3" s="2">
        <f t="shared" si="0"/>
        <v>3</v>
      </c>
      <c r="F3" s="6">
        <f t="shared" si="1"/>
        <v>0.5</v>
      </c>
    </row>
    <row r="4" spans="1:6">
      <c r="A4">
        <v>3</v>
      </c>
      <c r="B4" s="2" t="s">
        <v>8</v>
      </c>
      <c r="C4" s="2">
        <v>6</v>
      </c>
      <c r="D4" s="2">
        <v>2</v>
      </c>
      <c r="E4" s="2">
        <f t="shared" si="0"/>
        <v>4</v>
      </c>
      <c r="F4" s="6">
        <f t="shared" si="1"/>
        <v>0.33333333333333331</v>
      </c>
    </row>
    <row r="5" spans="1:6">
      <c r="A5">
        <v>4</v>
      </c>
      <c r="B5" s="2" t="s">
        <v>9</v>
      </c>
      <c r="C5" s="2">
        <v>5</v>
      </c>
      <c r="D5" s="2">
        <v>2</v>
      </c>
      <c r="E5" s="2">
        <f t="shared" si="0"/>
        <v>3</v>
      </c>
      <c r="F5" s="6">
        <f t="shared" si="1"/>
        <v>0.4</v>
      </c>
    </row>
    <row r="6" spans="1:6">
      <c r="A6">
        <v>5</v>
      </c>
      <c r="B6" s="2" t="s">
        <v>10</v>
      </c>
      <c r="C6" s="2">
        <v>5</v>
      </c>
      <c r="D6" s="2">
        <v>3</v>
      </c>
      <c r="E6" s="2">
        <f t="shared" si="0"/>
        <v>2</v>
      </c>
      <c r="F6" s="6">
        <f t="shared" si="1"/>
        <v>0.6</v>
      </c>
    </row>
    <row r="7" spans="1:6">
      <c r="A7">
        <v>6</v>
      </c>
      <c r="B7" s="2" t="s">
        <v>11</v>
      </c>
      <c r="C7" s="2">
        <v>9</v>
      </c>
      <c r="D7" s="2">
        <v>3</v>
      </c>
      <c r="E7" s="2">
        <f t="shared" si="0"/>
        <v>6</v>
      </c>
      <c r="F7" s="6">
        <f t="shared" si="1"/>
        <v>0.33333333333333331</v>
      </c>
    </row>
    <row r="8" spans="1:6">
      <c r="A8">
        <v>7</v>
      </c>
      <c r="B8" s="2" t="s">
        <v>12</v>
      </c>
      <c r="C8" s="2">
        <v>4</v>
      </c>
      <c r="D8" s="2">
        <v>2</v>
      </c>
      <c r="E8" s="2">
        <f t="shared" si="0"/>
        <v>2</v>
      </c>
      <c r="F8" s="6">
        <f t="shared" si="1"/>
        <v>0.5</v>
      </c>
    </row>
    <row r="9" spans="1:6">
      <c r="A9">
        <v>8</v>
      </c>
      <c r="B9" s="2" t="s">
        <v>13</v>
      </c>
      <c r="C9" s="2">
        <v>6</v>
      </c>
      <c r="D9" s="2">
        <v>2</v>
      </c>
      <c r="E9" s="2">
        <f t="shared" si="0"/>
        <v>4</v>
      </c>
      <c r="F9" s="6">
        <f t="shared" si="1"/>
        <v>0.33333333333333331</v>
      </c>
    </row>
    <row r="10" spans="1:6">
      <c r="A10">
        <v>9</v>
      </c>
      <c r="B10" s="2" t="s">
        <v>14</v>
      </c>
      <c r="C10" s="2">
        <v>5</v>
      </c>
      <c r="D10" s="2">
        <v>3</v>
      </c>
      <c r="E10" s="2">
        <f t="shared" si="0"/>
        <v>2</v>
      </c>
      <c r="F10" s="6">
        <f t="shared" si="1"/>
        <v>0.6</v>
      </c>
    </row>
    <row r="11" spans="1:6">
      <c r="A11">
        <v>10</v>
      </c>
      <c r="B11" s="2" t="s">
        <v>15</v>
      </c>
      <c r="C11" s="2">
        <v>5</v>
      </c>
      <c r="D11" s="2">
        <v>2</v>
      </c>
      <c r="E11" s="2">
        <f t="shared" si="0"/>
        <v>3</v>
      </c>
      <c r="F11" s="6">
        <f t="shared" si="1"/>
        <v>0.4</v>
      </c>
    </row>
    <row r="12" spans="1:6">
      <c r="A12">
        <v>11</v>
      </c>
      <c r="B12" s="2" t="s">
        <v>16</v>
      </c>
      <c r="C12" s="2">
        <v>6</v>
      </c>
      <c r="D12" s="2">
        <v>2</v>
      </c>
      <c r="E12" s="2">
        <f t="shared" si="0"/>
        <v>4</v>
      </c>
      <c r="F12" s="6">
        <f t="shared" si="1"/>
        <v>0.33333333333333331</v>
      </c>
    </row>
    <row r="13" spans="1:6">
      <c r="A13">
        <v>12</v>
      </c>
      <c r="B13" s="2" t="s">
        <v>17</v>
      </c>
      <c r="C13" s="2">
        <v>7</v>
      </c>
      <c r="D13" s="2">
        <v>4</v>
      </c>
      <c r="E13" s="2">
        <f t="shared" si="0"/>
        <v>3</v>
      </c>
      <c r="F13" s="6">
        <f t="shared" si="1"/>
        <v>0.5714285714285714</v>
      </c>
    </row>
    <row r="14" spans="1:6">
      <c r="A14">
        <v>13</v>
      </c>
      <c r="B14" s="2" t="s">
        <v>18</v>
      </c>
      <c r="C14" s="2">
        <v>6</v>
      </c>
      <c r="D14" s="2">
        <v>2</v>
      </c>
      <c r="E14" s="2">
        <f t="shared" si="0"/>
        <v>4</v>
      </c>
      <c r="F14" s="6">
        <f t="shared" si="1"/>
        <v>0.33333333333333331</v>
      </c>
    </row>
    <row r="15" spans="1:6">
      <c r="A15">
        <v>14</v>
      </c>
      <c r="B15" s="2" t="s">
        <v>19</v>
      </c>
      <c r="C15" s="2">
        <v>6</v>
      </c>
      <c r="D15" s="2">
        <v>3</v>
      </c>
      <c r="E15" s="2">
        <f t="shared" si="0"/>
        <v>3</v>
      </c>
      <c r="F15" s="6">
        <f t="shared" si="1"/>
        <v>0.5</v>
      </c>
    </row>
    <row r="16" spans="1:6">
      <c r="A16">
        <v>15</v>
      </c>
      <c r="B16" s="2" t="s">
        <v>20</v>
      </c>
      <c r="C16" s="2">
        <v>5</v>
      </c>
      <c r="D16" s="2">
        <v>2</v>
      </c>
      <c r="E16" s="2">
        <f t="shared" si="0"/>
        <v>3</v>
      </c>
      <c r="F16" s="6">
        <f t="shared" si="1"/>
        <v>0.4</v>
      </c>
    </row>
    <row r="17" spans="1:6">
      <c r="A17">
        <v>16</v>
      </c>
      <c r="B17" s="2" t="s">
        <v>21</v>
      </c>
      <c r="C17" s="2">
        <v>4</v>
      </c>
      <c r="D17" s="2">
        <v>2</v>
      </c>
      <c r="E17" s="2">
        <f t="shared" si="0"/>
        <v>2</v>
      </c>
      <c r="F17" s="6">
        <f t="shared" si="1"/>
        <v>0.5</v>
      </c>
    </row>
    <row r="18" spans="1:6">
      <c r="A18">
        <v>17</v>
      </c>
      <c r="B18" s="2" t="s">
        <v>22</v>
      </c>
      <c r="C18" s="2">
        <v>6</v>
      </c>
      <c r="D18" s="2">
        <v>3</v>
      </c>
      <c r="E18" s="2">
        <f t="shared" si="0"/>
        <v>3</v>
      </c>
      <c r="F18" s="6">
        <f t="shared" si="1"/>
        <v>0.5</v>
      </c>
    </row>
    <row r="19" spans="1:6">
      <c r="A19">
        <v>18</v>
      </c>
      <c r="B19" s="2" t="s">
        <v>23</v>
      </c>
      <c r="C19" s="2">
        <v>5</v>
      </c>
      <c r="D19" s="2">
        <v>3</v>
      </c>
      <c r="E19" s="2">
        <f t="shared" si="0"/>
        <v>2</v>
      </c>
      <c r="F19" s="6">
        <f t="shared" si="1"/>
        <v>0.6</v>
      </c>
    </row>
    <row r="20" spans="1:6">
      <c r="A20">
        <v>19</v>
      </c>
      <c r="B20" s="2" t="s">
        <v>24</v>
      </c>
      <c r="C20" s="2">
        <v>6</v>
      </c>
      <c r="D20" s="2">
        <v>3</v>
      </c>
      <c r="E20" s="2">
        <f t="shared" si="0"/>
        <v>3</v>
      </c>
      <c r="F20" s="6">
        <f t="shared" si="1"/>
        <v>0.5</v>
      </c>
    </row>
    <row r="21" spans="1:6">
      <c r="A21">
        <v>20</v>
      </c>
      <c r="B21" s="2" t="s">
        <v>25</v>
      </c>
      <c r="C21" s="2">
        <v>11</v>
      </c>
      <c r="D21" s="2">
        <v>6</v>
      </c>
      <c r="E21" s="2">
        <f t="shared" si="0"/>
        <v>5</v>
      </c>
      <c r="F21" s="6">
        <f t="shared" si="1"/>
        <v>0.54545454545454541</v>
      </c>
    </row>
    <row r="22" spans="1:6">
      <c r="A22">
        <v>21</v>
      </c>
      <c r="B22" s="2" t="s">
        <v>26</v>
      </c>
      <c r="C22" s="2">
        <v>3</v>
      </c>
      <c r="D22" s="2">
        <v>1</v>
      </c>
      <c r="E22" s="2">
        <f t="shared" si="0"/>
        <v>2</v>
      </c>
      <c r="F22" s="6">
        <f t="shared" si="1"/>
        <v>0.33333333333333331</v>
      </c>
    </row>
    <row r="23" spans="1:6">
      <c r="A23">
        <v>22</v>
      </c>
      <c r="B23" s="2" t="s">
        <v>27</v>
      </c>
      <c r="C23" s="2">
        <v>5</v>
      </c>
      <c r="D23" s="2">
        <v>2</v>
      </c>
      <c r="E23" s="2">
        <f t="shared" si="0"/>
        <v>3</v>
      </c>
      <c r="F23" s="6">
        <f t="shared" si="1"/>
        <v>0.4</v>
      </c>
    </row>
    <row r="24" spans="1:6">
      <c r="A24">
        <v>23</v>
      </c>
      <c r="B24" s="2" t="s">
        <v>28</v>
      </c>
      <c r="C24" s="2">
        <v>4</v>
      </c>
      <c r="D24" s="2">
        <v>2</v>
      </c>
      <c r="E24" s="2">
        <f t="shared" si="0"/>
        <v>2</v>
      </c>
      <c r="F24" s="6">
        <f t="shared" si="1"/>
        <v>0.5</v>
      </c>
    </row>
    <row r="25" spans="1:6">
      <c r="A25">
        <v>24</v>
      </c>
      <c r="B25" s="2" t="s">
        <v>29</v>
      </c>
      <c r="C25" s="2">
        <v>6</v>
      </c>
      <c r="D25" s="2">
        <v>3</v>
      </c>
      <c r="E25" s="2">
        <f t="shared" si="0"/>
        <v>3</v>
      </c>
      <c r="F25" s="6">
        <f t="shared" si="1"/>
        <v>0.5</v>
      </c>
    </row>
    <row r="26" spans="1:6">
      <c r="A26">
        <v>25</v>
      </c>
      <c r="B26" s="2" t="s">
        <v>30</v>
      </c>
      <c r="C26" s="2">
        <v>5</v>
      </c>
      <c r="D26" s="2">
        <v>2</v>
      </c>
      <c r="E26" s="2">
        <f t="shared" si="0"/>
        <v>3</v>
      </c>
      <c r="F26" s="6">
        <f t="shared" si="1"/>
        <v>0.4</v>
      </c>
    </row>
    <row r="27" spans="1:6">
      <c r="A27">
        <v>26</v>
      </c>
      <c r="B27" s="2" t="s">
        <v>31</v>
      </c>
      <c r="C27" s="2">
        <v>4</v>
      </c>
      <c r="D27" s="2">
        <v>1</v>
      </c>
      <c r="E27" s="2">
        <f t="shared" si="0"/>
        <v>3</v>
      </c>
      <c r="F27" s="6">
        <f t="shared" si="1"/>
        <v>0.25</v>
      </c>
    </row>
    <row r="28" spans="1:6">
      <c r="A28">
        <v>27</v>
      </c>
      <c r="B28" s="2" t="s">
        <v>32</v>
      </c>
      <c r="C28" s="2">
        <v>4</v>
      </c>
      <c r="D28" s="2">
        <v>3</v>
      </c>
      <c r="E28" s="2">
        <f t="shared" si="0"/>
        <v>1</v>
      </c>
      <c r="F28" s="6">
        <f t="shared" si="1"/>
        <v>0.75</v>
      </c>
    </row>
    <row r="29" spans="1:6">
      <c r="A29">
        <v>28</v>
      </c>
      <c r="B29" s="2" t="s">
        <v>33</v>
      </c>
      <c r="C29" s="2">
        <v>5</v>
      </c>
      <c r="D29" s="2">
        <v>3</v>
      </c>
      <c r="E29" s="2">
        <f t="shared" si="0"/>
        <v>2</v>
      </c>
      <c r="F29" s="6">
        <f t="shared" si="1"/>
        <v>0.6</v>
      </c>
    </row>
    <row r="30" spans="1:6">
      <c r="A30">
        <v>29</v>
      </c>
      <c r="B30" s="2" t="s">
        <v>34</v>
      </c>
      <c r="C30" s="2">
        <v>3</v>
      </c>
      <c r="D30" s="2">
        <v>1</v>
      </c>
      <c r="E30" s="2">
        <f t="shared" si="0"/>
        <v>2</v>
      </c>
      <c r="F30" s="6">
        <f t="shared" si="1"/>
        <v>0.33333333333333331</v>
      </c>
    </row>
    <row r="31" spans="1:6">
      <c r="A31">
        <v>30</v>
      </c>
      <c r="B31" s="2" t="s">
        <v>35</v>
      </c>
      <c r="C31" s="2">
        <v>5</v>
      </c>
      <c r="D31" s="2">
        <v>3</v>
      </c>
      <c r="E31" s="2">
        <f t="shared" si="0"/>
        <v>2</v>
      </c>
      <c r="F31" s="6">
        <f t="shared" si="1"/>
        <v>0.6</v>
      </c>
    </row>
    <row r="32" spans="1:6">
      <c r="A32">
        <v>31</v>
      </c>
      <c r="B32" s="2" t="s">
        <v>36</v>
      </c>
      <c r="C32" s="2">
        <v>6</v>
      </c>
      <c r="D32" s="2">
        <v>2</v>
      </c>
      <c r="E32" s="2">
        <f t="shared" si="0"/>
        <v>4</v>
      </c>
      <c r="F32" s="6">
        <f t="shared" si="1"/>
        <v>0.33333333333333331</v>
      </c>
    </row>
    <row r="33" spans="1:6">
      <c r="A33">
        <v>32</v>
      </c>
      <c r="B33" s="2" t="s">
        <v>37</v>
      </c>
      <c r="C33" s="2">
        <v>8</v>
      </c>
      <c r="D33" s="2">
        <v>3</v>
      </c>
      <c r="E33" s="2">
        <f t="shared" si="0"/>
        <v>5</v>
      </c>
      <c r="F33" s="6">
        <f t="shared" si="1"/>
        <v>0.375</v>
      </c>
    </row>
    <row r="34" spans="1:6">
      <c r="A34">
        <v>33</v>
      </c>
      <c r="B34" s="2" t="s">
        <v>38</v>
      </c>
      <c r="C34" s="2">
        <v>7</v>
      </c>
      <c r="D34" s="2">
        <v>3</v>
      </c>
      <c r="E34" s="2">
        <f t="shared" si="0"/>
        <v>4</v>
      </c>
      <c r="F34" s="6">
        <f t="shared" si="1"/>
        <v>0.42857142857142855</v>
      </c>
    </row>
    <row r="35" spans="1:6">
      <c r="A35">
        <v>34</v>
      </c>
      <c r="B35" s="2" t="s">
        <v>39</v>
      </c>
      <c r="C35" s="2">
        <v>4</v>
      </c>
      <c r="D35" s="2">
        <v>1</v>
      </c>
      <c r="E35" s="2">
        <f t="shared" si="0"/>
        <v>3</v>
      </c>
      <c r="F35" s="6">
        <f t="shared" si="1"/>
        <v>0.25</v>
      </c>
    </row>
    <row r="36" spans="1:6">
      <c r="A36">
        <v>35</v>
      </c>
      <c r="B36" s="2" t="s">
        <v>40</v>
      </c>
      <c r="C36" s="2">
        <v>3</v>
      </c>
      <c r="D36" s="2">
        <v>1</v>
      </c>
      <c r="E36" s="2">
        <f t="shared" si="0"/>
        <v>2</v>
      </c>
      <c r="F36" s="6">
        <f t="shared" si="1"/>
        <v>0.33333333333333331</v>
      </c>
    </row>
    <row r="37" spans="1:6">
      <c r="A37">
        <v>36</v>
      </c>
      <c r="B37" s="2" t="s">
        <v>41</v>
      </c>
      <c r="C37" s="2">
        <v>4</v>
      </c>
      <c r="D37" s="2">
        <v>1</v>
      </c>
      <c r="E37" s="2">
        <f t="shared" si="0"/>
        <v>3</v>
      </c>
      <c r="F37" s="6">
        <f t="shared" si="1"/>
        <v>0.25</v>
      </c>
    </row>
    <row r="38" spans="1:6">
      <c r="A38">
        <v>37</v>
      </c>
      <c r="B38" s="2" t="s">
        <v>42</v>
      </c>
      <c r="C38" s="2">
        <v>4</v>
      </c>
      <c r="D38" s="2">
        <v>2</v>
      </c>
      <c r="E38" s="2">
        <f t="shared" si="0"/>
        <v>2</v>
      </c>
      <c r="F38" s="6">
        <f t="shared" si="1"/>
        <v>0.5</v>
      </c>
    </row>
    <row r="39" spans="1:6">
      <c r="A39">
        <v>38</v>
      </c>
      <c r="B39" s="2" t="s">
        <v>43</v>
      </c>
      <c r="C39" s="2">
        <v>5</v>
      </c>
      <c r="D39" s="2">
        <v>2</v>
      </c>
      <c r="E39" s="2">
        <f t="shared" si="0"/>
        <v>3</v>
      </c>
      <c r="F39" s="6">
        <f t="shared" si="1"/>
        <v>0.4</v>
      </c>
    </row>
    <row r="40" spans="1:6">
      <c r="A40">
        <v>39</v>
      </c>
      <c r="B40" s="2" t="s">
        <v>44</v>
      </c>
      <c r="C40" s="2">
        <v>4</v>
      </c>
      <c r="D40" s="2">
        <v>2</v>
      </c>
      <c r="E40" s="2">
        <f t="shared" si="0"/>
        <v>2</v>
      </c>
      <c r="F40" s="6">
        <f t="shared" si="1"/>
        <v>0.5</v>
      </c>
    </row>
    <row r="41" spans="1:6">
      <c r="A41">
        <v>40</v>
      </c>
      <c r="B41" s="2" t="s">
        <v>45</v>
      </c>
      <c r="C41" s="2">
        <v>3</v>
      </c>
      <c r="D41" s="2">
        <v>1</v>
      </c>
      <c r="E41" s="2">
        <f t="shared" si="0"/>
        <v>2</v>
      </c>
      <c r="F41" s="6">
        <f t="shared" si="1"/>
        <v>0.33333333333333331</v>
      </c>
    </row>
    <row r="42" spans="1:6">
      <c r="A42">
        <v>41</v>
      </c>
      <c r="B42" s="2" t="s">
        <v>46</v>
      </c>
      <c r="C42" s="2">
        <v>5</v>
      </c>
      <c r="D42" s="2">
        <v>2</v>
      </c>
      <c r="E42" s="2">
        <f t="shared" si="0"/>
        <v>3</v>
      </c>
      <c r="F42" s="6">
        <f t="shared" si="1"/>
        <v>0.4</v>
      </c>
    </row>
    <row r="43" spans="1:6">
      <c r="A43">
        <v>42</v>
      </c>
      <c r="B43" s="2" t="s">
        <v>47</v>
      </c>
      <c r="C43" s="2">
        <v>5</v>
      </c>
      <c r="D43" s="2">
        <v>2</v>
      </c>
      <c r="E43" s="2">
        <f t="shared" si="0"/>
        <v>3</v>
      </c>
      <c r="F43" s="6">
        <f t="shared" si="1"/>
        <v>0.4</v>
      </c>
    </row>
    <row r="44" spans="1:6">
      <c r="A44">
        <v>43</v>
      </c>
      <c r="B44" s="2" t="s">
        <v>48</v>
      </c>
      <c r="C44" s="2">
        <v>4</v>
      </c>
      <c r="D44" s="2">
        <v>3</v>
      </c>
      <c r="E44" s="2">
        <f t="shared" si="0"/>
        <v>1</v>
      </c>
      <c r="F44" s="6">
        <f t="shared" si="1"/>
        <v>0.75</v>
      </c>
    </row>
    <row r="45" spans="1:6">
      <c r="A45">
        <v>44</v>
      </c>
      <c r="B45" s="2" t="s">
        <v>49</v>
      </c>
      <c r="C45" s="2">
        <v>3</v>
      </c>
      <c r="D45" s="2">
        <v>1</v>
      </c>
      <c r="E45" s="2">
        <f t="shared" si="0"/>
        <v>2</v>
      </c>
      <c r="F45" s="6">
        <f t="shared" si="1"/>
        <v>0.33333333333333331</v>
      </c>
    </row>
    <row r="46" spans="1:6">
      <c r="F46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pane ySplit="1" topLeftCell="A9" activePane="bottomLeft" state="frozen"/>
      <selection pane="bottomLeft" activeCell="C44" sqref="C44"/>
    </sheetView>
  </sheetViews>
  <sheetFormatPr baseColWidth="10" defaultColWidth="8.83203125" defaultRowHeight="14"/>
  <cols>
    <col min="2" max="2" width="32.5" customWidth="1"/>
    <col min="5" max="5" width="12.5" customWidth="1"/>
  </cols>
  <sheetData>
    <row r="1" spans="1:6" ht="28.75" customHeight="1">
      <c r="A1" t="s">
        <v>0</v>
      </c>
      <c r="B1" s="1" t="s">
        <v>50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>
        <v>1</v>
      </c>
      <c r="B2" s="3" t="s">
        <v>51</v>
      </c>
      <c r="C2" s="1">
        <v>4</v>
      </c>
      <c r="D2" s="1">
        <v>2</v>
      </c>
      <c r="E2" s="1">
        <f t="shared" ref="E2:E43" si="0">C2-D2</f>
        <v>2</v>
      </c>
      <c r="F2" s="4">
        <f t="shared" ref="F2:F43" si="1">D2/C2</f>
        <v>0.5</v>
      </c>
    </row>
    <row r="3" spans="1:6">
      <c r="A3">
        <v>2</v>
      </c>
      <c r="B3" s="3" t="s">
        <v>52</v>
      </c>
      <c r="C3" s="1">
        <v>4</v>
      </c>
      <c r="D3" s="1">
        <v>4</v>
      </c>
      <c r="E3" s="1">
        <f t="shared" si="0"/>
        <v>0</v>
      </c>
      <c r="F3" s="4">
        <f t="shared" si="1"/>
        <v>1</v>
      </c>
    </row>
    <row r="4" spans="1:6">
      <c r="A4">
        <v>3</v>
      </c>
      <c r="B4" s="3" t="s">
        <v>53</v>
      </c>
      <c r="C4" s="1">
        <v>4</v>
      </c>
      <c r="D4" s="1">
        <v>4</v>
      </c>
      <c r="E4" s="1">
        <f t="shared" si="0"/>
        <v>0</v>
      </c>
      <c r="F4" s="4">
        <f t="shared" si="1"/>
        <v>1</v>
      </c>
    </row>
    <row r="5" spans="1:6">
      <c r="A5">
        <v>4</v>
      </c>
      <c r="B5" s="3" t="s">
        <v>54</v>
      </c>
      <c r="C5" s="1">
        <v>5</v>
      </c>
      <c r="D5" s="1">
        <v>4</v>
      </c>
      <c r="E5" s="1">
        <f t="shared" si="0"/>
        <v>1</v>
      </c>
      <c r="F5" s="4">
        <f t="shared" si="1"/>
        <v>0.8</v>
      </c>
    </row>
    <row r="6" spans="1:6">
      <c r="A6">
        <v>5</v>
      </c>
      <c r="B6" s="3" t="s">
        <v>55</v>
      </c>
      <c r="C6" s="1">
        <v>24</v>
      </c>
      <c r="D6" s="1">
        <v>15</v>
      </c>
      <c r="E6" s="1">
        <f t="shared" si="0"/>
        <v>9</v>
      </c>
      <c r="F6" s="4">
        <f t="shared" si="1"/>
        <v>0.625</v>
      </c>
    </row>
    <row r="7" spans="1:6">
      <c r="A7">
        <v>6</v>
      </c>
      <c r="B7" s="3" t="s">
        <v>56</v>
      </c>
      <c r="C7" s="1">
        <v>2</v>
      </c>
      <c r="D7" s="1">
        <v>1</v>
      </c>
      <c r="E7" s="1">
        <f t="shared" si="0"/>
        <v>1</v>
      </c>
      <c r="F7" s="4">
        <f t="shared" si="1"/>
        <v>0.5</v>
      </c>
    </row>
    <row r="8" spans="1:6">
      <c r="A8">
        <v>7</v>
      </c>
      <c r="B8" s="3" t="s">
        <v>57</v>
      </c>
      <c r="C8" s="1">
        <v>23</v>
      </c>
      <c r="D8" s="1">
        <v>15</v>
      </c>
      <c r="E8" s="1">
        <f t="shared" si="0"/>
        <v>8</v>
      </c>
      <c r="F8" s="4">
        <f t="shared" si="1"/>
        <v>0.65217391304347827</v>
      </c>
    </row>
    <row r="9" spans="1:6">
      <c r="A9">
        <v>8</v>
      </c>
      <c r="B9" s="3" t="s">
        <v>58</v>
      </c>
      <c r="C9" s="1">
        <v>45</v>
      </c>
      <c r="D9" s="1">
        <v>33</v>
      </c>
      <c r="E9" s="1">
        <f t="shared" si="0"/>
        <v>12</v>
      </c>
      <c r="F9" s="4">
        <f t="shared" si="1"/>
        <v>0.73333333333333328</v>
      </c>
    </row>
    <row r="10" spans="1:6">
      <c r="A10">
        <v>9</v>
      </c>
      <c r="B10" s="3" t="s">
        <v>59</v>
      </c>
      <c r="C10" s="1">
        <v>8</v>
      </c>
      <c r="D10" s="1">
        <v>5</v>
      </c>
      <c r="E10" s="1">
        <f t="shared" si="0"/>
        <v>3</v>
      </c>
      <c r="F10" s="4">
        <f t="shared" si="1"/>
        <v>0.625</v>
      </c>
    </row>
    <row r="11" spans="1:6">
      <c r="A11">
        <v>10</v>
      </c>
      <c r="B11" s="3" t="s">
        <v>60</v>
      </c>
      <c r="C11" s="1">
        <v>3</v>
      </c>
      <c r="D11" s="1">
        <v>3</v>
      </c>
      <c r="E11" s="1">
        <f t="shared" si="0"/>
        <v>0</v>
      </c>
      <c r="F11" s="4">
        <f t="shared" si="1"/>
        <v>1</v>
      </c>
    </row>
    <row r="12" spans="1:6">
      <c r="A12">
        <v>11</v>
      </c>
      <c r="B12" s="3" t="s">
        <v>61</v>
      </c>
      <c r="C12" s="1">
        <v>4</v>
      </c>
      <c r="D12" s="1">
        <v>1</v>
      </c>
      <c r="E12" s="1">
        <f t="shared" si="0"/>
        <v>3</v>
      </c>
      <c r="F12" s="4">
        <f t="shared" si="1"/>
        <v>0.25</v>
      </c>
    </row>
    <row r="13" spans="1:6">
      <c r="A13">
        <v>12</v>
      </c>
      <c r="B13" s="3" t="s">
        <v>62</v>
      </c>
      <c r="C13" s="1">
        <v>37</v>
      </c>
      <c r="D13" s="1">
        <v>19</v>
      </c>
      <c r="E13" s="1">
        <f t="shared" si="0"/>
        <v>18</v>
      </c>
      <c r="F13" s="4">
        <f t="shared" si="1"/>
        <v>0.51351351351351349</v>
      </c>
    </row>
    <row r="14" spans="1:6">
      <c r="A14">
        <v>13</v>
      </c>
      <c r="B14" s="3" t="s">
        <v>63</v>
      </c>
      <c r="C14" s="1">
        <v>4</v>
      </c>
      <c r="D14" s="1">
        <v>3</v>
      </c>
      <c r="E14" s="1">
        <f t="shared" si="0"/>
        <v>1</v>
      </c>
      <c r="F14" s="4">
        <f t="shared" si="1"/>
        <v>0.75</v>
      </c>
    </row>
    <row r="15" spans="1:6">
      <c r="A15">
        <v>14</v>
      </c>
      <c r="B15" s="3" t="s">
        <v>64</v>
      </c>
      <c r="C15" s="1">
        <v>8</v>
      </c>
      <c r="D15" s="1">
        <v>3</v>
      </c>
      <c r="E15" s="1">
        <f t="shared" si="0"/>
        <v>5</v>
      </c>
      <c r="F15" s="4">
        <f t="shared" si="1"/>
        <v>0.375</v>
      </c>
    </row>
    <row r="16" spans="1:6">
      <c r="A16">
        <v>15</v>
      </c>
      <c r="B16" s="3" t="s">
        <v>65</v>
      </c>
      <c r="C16" s="1">
        <v>5</v>
      </c>
      <c r="D16" s="1">
        <v>3</v>
      </c>
      <c r="E16" s="1">
        <f t="shared" si="0"/>
        <v>2</v>
      </c>
      <c r="F16" s="4">
        <f t="shared" si="1"/>
        <v>0.6</v>
      </c>
    </row>
    <row r="17" spans="1:6">
      <c r="A17">
        <v>16</v>
      </c>
      <c r="B17" s="3" t="s">
        <v>66</v>
      </c>
      <c r="C17" s="1">
        <v>13</v>
      </c>
      <c r="D17" s="1">
        <v>7</v>
      </c>
      <c r="E17" s="1">
        <f t="shared" si="0"/>
        <v>6</v>
      </c>
      <c r="F17" s="4">
        <f t="shared" si="1"/>
        <v>0.53846153846153844</v>
      </c>
    </row>
    <row r="18" spans="1:6">
      <c r="A18">
        <v>17</v>
      </c>
      <c r="B18" s="3" t="s">
        <v>67</v>
      </c>
      <c r="C18" s="1">
        <v>3</v>
      </c>
      <c r="D18" s="1">
        <v>3</v>
      </c>
      <c r="E18" s="1">
        <f t="shared" si="0"/>
        <v>0</v>
      </c>
      <c r="F18" s="4">
        <f t="shared" si="1"/>
        <v>1</v>
      </c>
    </row>
    <row r="19" spans="1:6">
      <c r="A19">
        <v>18</v>
      </c>
      <c r="B19" s="3" t="s">
        <v>68</v>
      </c>
      <c r="C19" s="1">
        <v>15</v>
      </c>
      <c r="D19" s="1">
        <v>9</v>
      </c>
      <c r="E19" s="1">
        <f t="shared" si="0"/>
        <v>6</v>
      </c>
      <c r="F19" s="4">
        <f t="shared" si="1"/>
        <v>0.6</v>
      </c>
    </row>
    <row r="20" spans="1:6">
      <c r="A20">
        <v>19</v>
      </c>
      <c r="B20" s="3" t="s">
        <v>69</v>
      </c>
      <c r="C20" s="1">
        <v>2</v>
      </c>
      <c r="D20" s="1">
        <v>2</v>
      </c>
      <c r="E20" s="1">
        <f t="shared" si="0"/>
        <v>0</v>
      </c>
      <c r="F20" s="4">
        <f t="shared" si="1"/>
        <v>1</v>
      </c>
    </row>
    <row r="21" spans="1:6">
      <c r="A21">
        <v>20</v>
      </c>
      <c r="B21" s="3" t="s">
        <v>70</v>
      </c>
      <c r="C21" s="1">
        <v>2</v>
      </c>
      <c r="D21" s="1">
        <v>1</v>
      </c>
      <c r="E21" s="1">
        <f t="shared" si="0"/>
        <v>1</v>
      </c>
      <c r="F21" s="4">
        <f t="shared" si="1"/>
        <v>0.5</v>
      </c>
    </row>
    <row r="22" spans="1:6">
      <c r="A22">
        <v>21</v>
      </c>
      <c r="B22" s="3" t="s">
        <v>71</v>
      </c>
      <c r="C22" s="1">
        <v>3</v>
      </c>
      <c r="D22" s="1">
        <v>3</v>
      </c>
      <c r="E22" s="1">
        <f t="shared" si="0"/>
        <v>0</v>
      </c>
      <c r="F22" s="4">
        <f t="shared" si="1"/>
        <v>1</v>
      </c>
    </row>
    <row r="23" spans="1:6">
      <c r="A23">
        <v>22</v>
      </c>
      <c r="B23" s="3" t="s">
        <v>72</v>
      </c>
      <c r="C23" s="1">
        <v>28</v>
      </c>
      <c r="D23" s="1">
        <v>20</v>
      </c>
      <c r="E23" s="1">
        <f t="shared" si="0"/>
        <v>8</v>
      </c>
      <c r="F23" s="4">
        <f t="shared" si="1"/>
        <v>0.7142857142857143</v>
      </c>
    </row>
    <row r="24" spans="1:6">
      <c r="A24">
        <v>23</v>
      </c>
      <c r="B24" s="3" t="s">
        <v>73</v>
      </c>
      <c r="C24" s="1">
        <v>8</v>
      </c>
      <c r="D24" s="1">
        <v>5</v>
      </c>
      <c r="E24" s="1">
        <f t="shared" si="0"/>
        <v>3</v>
      </c>
      <c r="F24" s="4">
        <f t="shared" si="1"/>
        <v>0.625</v>
      </c>
    </row>
    <row r="25" spans="1:6">
      <c r="A25">
        <v>24</v>
      </c>
      <c r="B25" s="3" t="s">
        <v>74</v>
      </c>
      <c r="C25" s="1">
        <v>7</v>
      </c>
      <c r="D25" s="1">
        <v>1</v>
      </c>
      <c r="E25" s="1">
        <f t="shared" si="0"/>
        <v>6</v>
      </c>
      <c r="F25" s="4">
        <f t="shared" si="1"/>
        <v>0.14285714285714285</v>
      </c>
    </row>
    <row r="26" spans="1:6">
      <c r="A26">
        <v>25</v>
      </c>
      <c r="B26" s="3" t="s">
        <v>75</v>
      </c>
      <c r="C26" s="1">
        <v>18</v>
      </c>
      <c r="D26" s="1">
        <v>11</v>
      </c>
      <c r="E26" s="1">
        <f t="shared" si="0"/>
        <v>7</v>
      </c>
      <c r="F26" s="4">
        <f t="shared" si="1"/>
        <v>0.61111111111111116</v>
      </c>
    </row>
    <row r="27" spans="1:6">
      <c r="A27">
        <v>26</v>
      </c>
      <c r="B27" s="3" t="s">
        <v>76</v>
      </c>
      <c r="C27" s="1">
        <v>6</v>
      </c>
      <c r="D27" s="1">
        <v>3</v>
      </c>
      <c r="E27" s="1">
        <f t="shared" si="0"/>
        <v>3</v>
      </c>
      <c r="F27" s="4">
        <f t="shared" si="1"/>
        <v>0.5</v>
      </c>
    </row>
    <row r="28" spans="1:6">
      <c r="A28">
        <v>27</v>
      </c>
      <c r="B28" s="3" t="s">
        <v>77</v>
      </c>
      <c r="C28" s="1">
        <v>23</v>
      </c>
      <c r="D28" s="1">
        <v>14</v>
      </c>
      <c r="E28" s="1">
        <f t="shared" si="0"/>
        <v>9</v>
      </c>
      <c r="F28" s="4">
        <f t="shared" si="1"/>
        <v>0.60869565217391308</v>
      </c>
    </row>
    <row r="29" spans="1:6">
      <c r="A29">
        <v>28</v>
      </c>
      <c r="B29" s="3" t="s">
        <v>78</v>
      </c>
      <c r="C29" s="1">
        <v>7</v>
      </c>
      <c r="D29" s="1">
        <v>5</v>
      </c>
      <c r="E29" s="1">
        <f t="shared" si="0"/>
        <v>2</v>
      </c>
      <c r="F29" s="4">
        <f t="shared" si="1"/>
        <v>0.7142857142857143</v>
      </c>
    </row>
    <row r="30" spans="1:6">
      <c r="A30">
        <v>29</v>
      </c>
      <c r="B30" s="3" t="s">
        <v>79</v>
      </c>
      <c r="C30" s="1">
        <v>10</v>
      </c>
      <c r="D30" s="1">
        <v>6</v>
      </c>
      <c r="E30" s="1">
        <f t="shared" si="0"/>
        <v>4</v>
      </c>
      <c r="F30" s="4">
        <f t="shared" si="1"/>
        <v>0.6</v>
      </c>
    </row>
    <row r="31" spans="1:6">
      <c r="A31">
        <v>30</v>
      </c>
      <c r="B31" s="3" t="s">
        <v>80</v>
      </c>
      <c r="C31" s="1">
        <v>4</v>
      </c>
      <c r="D31" s="1">
        <v>4</v>
      </c>
      <c r="E31" s="1">
        <f t="shared" si="0"/>
        <v>0</v>
      </c>
      <c r="F31" s="4">
        <f t="shared" si="1"/>
        <v>1</v>
      </c>
    </row>
    <row r="32" spans="1:6">
      <c r="A32">
        <v>31</v>
      </c>
      <c r="B32" s="3" t="s">
        <v>81</v>
      </c>
      <c r="C32" s="1">
        <v>1</v>
      </c>
      <c r="D32" s="1">
        <v>1</v>
      </c>
      <c r="E32" s="1">
        <f t="shared" si="0"/>
        <v>0</v>
      </c>
      <c r="F32" s="4">
        <f t="shared" si="1"/>
        <v>1</v>
      </c>
    </row>
    <row r="33" spans="1:6">
      <c r="A33">
        <v>32</v>
      </c>
      <c r="B33" s="3" t="s">
        <v>82</v>
      </c>
      <c r="C33" s="1">
        <v>4</v>
      </c>
      <c r="D33" s="1">
        <v>4</v>
      </c>
      <c r="E33" s="1">
        <f t="shared" si="0"/>
        <v>0</v>
      </c>
      <c r="F33" s="4">
        <f t="shared" si="1"/>
        <v>1</v>
      </c>
    </row>
    <row r="34" spans="1:6">
      <c r="A34">
        <v>33</v>
      </c>
      <c r="B34" s="3" t="s">
        <v>83</v>
      </c>
      <c r="C34" s="1">
        <v>1</v>
      </c>
      <c r="D34" s="1">
        <v>1</v>
      </c>
      <c r="E34" s="1">
        <f t="shared" si="0"/>
        <v>0</v>
      </c>
      <c r="F34" s="4">
        <f t="shared" si="1"/>
        <v>1</v>
      </c>
    </row>
    <row r="35" spans="1:6">
      <c r="A35">
        <v>34</v>
      </c>
      <c r="B35" s="3" t="s">
        <v>84</v>
      </c>
      <c r="C35" s="1">
        <v>1</v>
      </c>
      <c r="D35" s="1">
        <v>0</v>
      </c>
      <c r="E35" s="1">
        <f t="shared" si="0"/>
        <v>1</v>
      </c>
      <c r="F35" s="4">
        <f t="shared" si="1"/>
        <v>0</v>
      </c>
    </row>
    <row r="36" spans="1:6">
      <c r="A36">
        <v>35</v>
      </c>
      <c r="B36" s="3" t="s">
        <v>85</v>
      </c>
      <c r="C36" s="1">
        <v>2</v>
      </c>
      <c r="D36" s="1">
        <v>2</v>
      </c>
      <c r="E36" s="1">
        <f t="shared" si="0"/>
        <v>0</v>
      </c>
      <c r="F36" s="4">
        <f t="shared" si="1"/>
        <v>1</v>
      </c>
    </row>
    <row r="37" spans="1:6">
      <c r="A37">
        <v>36</v>
      </c>
      <c r="B37" s="3" t="s">
        <v>86</v>
      </c>
      <c r="C37" s="1">
        <v>2</v>
      </c>
      <c r="D37" s="1">
        <v>2</v>
      </c>
      <c r="E37" s="1">
        <f t="shared" si="0"/>
        <v>0</v>
      </c>
      <c r="F37" s="4">
        <f t="shared" si="1"/>
        <v>1</v>
      </c>
    </row>
    <row r="38" spans="1:6">
      <c r="A38">
        <v>37</v>
      </c>
      <c r="B38" s="3" t="s">
        <v>87</v>
      </c>
      <c r="C38" s="1">
        <v>14</v>
      </c>
      <c r="D38" s="1">
        <v>10</v>
      </c>
      <c r="E38" s="1">
        <f t="shared" si="0"/>
        <v>4</v>
      </c>
      <c r="F38" s="4">
        <f t="shared" si="1"/>
        <v>0.7142857142857143</v>
      </c>
    </row>
    <row r="39" spans="1:6">
      <c r="A39">
        <v>38</v>
      </c>
      <c r="B39" s="3" t="s">
        <v>88</v>
      </c>
      <c r="C39" s="1">
        <v>5</v>
      </c>
      <c r="D39" s="1">
        <v>5</v>
      </c>
      <c r="E39" s="1">
        <f t="shared" si="0"/>
        <v>0</v>
      </c>
      <c r="F39" s="4">
        <f t="shared" si="1"/>
        <v>1</v>
      </c>
    </row>
    <row r="40" spans="1:6">
      <c r="A40">
        <v>39</v>
      </c>
      <c r="B40" s="3" t="s">
        <v>89</v>
      </c>
      <c r="C40" s="1">
        <v>3</v>
      </c>
      <c r="D40" s="1">
        <v>2</v>
      </c>
      <c r="E40" s="1">
        <f t="shared" si="0"/>
        <v>1</v>
      </c>
      <c r="F40" s="4">
        <f t="shared" si="1"/>
        <v>0.66666666666666663</v>
      </c>
    </row>
    <row r="41" spans="1:6">
      <c r="A41">
        <v>40</v>
      </c>
      <c r="B41" s="3" t="s">
        <v>90</v>
      </c>
      <c r="C41" s="1">
        <v>4</v>
      </c>
      <c r="D41" s="1">
        <v>2</v>
      </c>
      <c r="E41" s="1">
        <f t="shared" si="0"/>
        <v>2</v>
      </c>
      <c r="F41" s="4">
        <f t="shared" si="1"/>
        <v>0.5</v>
      </c>
    </row>
    <row r="42" spans="1:6">
      <c r="A42">
        <v>41</v>
      </c>
      <c r="B42" s="3" t="s">
        <v>91</v>
      </c>
      <c r="C42" s="1">
        <v>34</v>
      </c>
      <c r="D42" s="1">
        <v>25</v>
      </c>
      <c r="E42" s="1">
        <f t="shared" si="0"/>
        <v>9</v>
      </c>
      <c r="F42" s="4">
        <f t="shared" si="1"/>
        <v>0.73529411764705888</v>
      </c>
    </row>
    <row r="43" spans="1:6">
      <c r="A43">
        <v>42</v>
      </c>
      <c r="B43" s="3" t="s">
        <v>92</v>
      </c>
      <c r="C43" s="1">
        <v>3</v>
      </c>
      <c r="D43" s="1">
        <v>3</v>
      </c>
      <c r="E43" s="1">
        <f t="shared" si="0"/>
        <v>0</v>
      </c>
      <c r="F43" s="4">
        <f t="shared" si="1"/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分行剩余任务情况</vt:lpstr>
      <vt:lpstr>总行剩余任务情况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</dc:creator>
  <cp:lastModifiedBy>雯婷 曾</cp:lastModifiedBy>
  <dcterms:created xsi:type="dcterms:W3CDTF">2026-05-07T16:27:00Z</dcterms:created>
  <dcterms:modified xsi:type="dcterms:W3CDTF">2026-08-28T00:50:56Z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53F05BF261A09AE4FF4CFC69F2E7F6C5_41</vt:lpwstr>
  </property>
  <property fmtid="{D5CDD505-2E9C-101B-9397-08002B2CF9AE}" pid="3" name="KSOProductBuildVer">
    <vt:lpwstr>2052-11.8.2.10164</vt:lpwstr>
  </property>
  <property fmtid="{D5CDD505-2E9C-101B-9397-08002B2CF9AE}" pid="4" name="CalculationRule">
    <vt:i4>1</vt:i4>
  </property>
</Properties>
</file>